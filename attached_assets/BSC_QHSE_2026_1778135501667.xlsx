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hcqatar-my.sharepoint.com/personal/imanul_hasan_gulfhelicopters_com/Documents/GHC PMO/Dashboard Data/Balanced Scorecard Data/"/>
    </mc:Choice>
  </mc:AlternateContent>
  <xr:revisionPtr revIDLastSave="199" documentId="13_ncr:1_{43270358-AA21-4CEB-AB49-049F2D58F9FA}" xr6:coauthVersionLast="47" xr6:coauthVersionMax="47" xr10:uidLastSave="{A559E34C-558B-4C30-BA91-8D32B4174D85}"/>
  <bookViews>
    <workbookView xWindow="-120" yWindow="-120" windowWidth="29040" windowHeight="15720" tabRatio="500" firstSheet="1" activeTab="1" xr2:uid="{00000000-000D-0000-FFFF-FFFF00000000}"/>
  </bookViews>
  <sheets>
    <sheet name="How to Use" sheetId="1" state="hidden" r:id="rId1"/>
    <sheet name="Actuals 2026" sheetId="2" r:id="rId2"/>
    <sheet name="Historical" sheetId="17" r:id="rId3"/>
    <sheet name="Regulatory Approval" sheetId="3" r:id="rId4"/>
    <sheet name="Quality Circular Freq" sheetId="4" r:id="rId5"/>
    <sheet name="Audit Plan Adherence" sheetId="5" r:id="rId6"/>
    <sheet name="CAPA Extension Rate" sheetId="6" r:id="rId7"/>
    <sheet name="Unscheduled Audits" sheetId="7" r:id="rId8"/>
    <sheet name="Doc Standardization" sheetId="8" r:id="rId9"/>
    <sheet name="Psych Safety Index" sheetId="9" r:id="rId10"/>
    <sheet name="Accident Rate" sheetId="10" r:id="rId11"/>
    <sheet name="High Risk Incidents" sheetId="11" r:id="rId12"/>
    <sheet name="HSE Bulletins" sheetId="12" r:id="rId13"/>
    <sheet name="Emergency Drills" sheetId="13" r:id="rId14"/>
    <sheet name="Training Compliance" sheetId="14" r:id="rId15"/>
    <sheet name="Budget Adherence" sheetId="15" r:id="rId16"/>
    <sheet name="Proc Review Rate" sheetId="16" r:id="rId17"/>
  </sheets>
  <definedNames>
    <definedName name="_xlnm._FilterDatabase" localSheetId="1" hidden="1">'Actuals 2026'!$B$1:$T$1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6" i="16" l="1"/>
  <c r="T15" i="2" s="1"/>
  <c r="M6" i="16"/>
  <c r="S15" i="2" s="1"/>
  <c r="L6" i="16"/>
  <c r="K6" i="16"/>
  <c r="J6" i="16"/>
  <c r="P15" i="2" s="1"/>
  <c r="I6" i="16"/>
  <c r="H6" i="16"/>
  <c r="G6" i="16"/>
  <c r="F6" i="16"/>
  <c r="E6" i="16"/>
  <c r="K15" i="2" s="1"/>
  <c r="D6" i="16"/>
  <c r="J15" i="2" s="1"/>
  <c r="C6" i="16"/>
  <c r="I15" i="2" s="1"/>
  <c r="O5" i="16"/>
  <c r="O4" i="16"/>
  <c r="N6" i="15"/>
  <c r="M6" i="15"/>
  <c r="L6" i="15"/>
  <c r="K6" i="15"/>
  <c r="J6" i="15"/>
  <c r="I6" i="15"/>
  <c r="H6" i="15"/>
  <c r="G6" i="15"/>
  <c r="F6" i="15"/>
  <c r="E6" i="15"/>
  <c r="D6" i="15"/>
  <c r="C6" i="15"/>
  <c r="O6" i="15" s="1"/>
  <c r="O5" i="15"/>
  <c r="O4" i="15"/>
  <c r="N6" i="14"/>
  <c r="M6" i="14"/>
  <c r="L6" i="14"/>
  <c r="K6" i="14"/>
  <c r="J6" i="14"/>
  <c r="I6" i="14"/>
  <c r="H6" i="14"/>
  <c r="G6" i="14"/>
  <c r="F6" i="14"/>
  <c r="E6" i="14"/>
  <c r="D6" i="14"/>
  <c r="J13" i="2" s="1"/>
  <c r="C6" i="14"/>
  <c r="O6" i="14" s="1"/>
  <c r="O5" i="14"/>
  <c r="O4" i="14"/>
  <c r="N5" i="13"/>
  <c r="M5" i="13"/>
  <c r="L5" i="13"/>
  <c r="K5" i="13"/>
  <c r="J5" i="13"/>
  <c r="I5" i="13"/>
  <c r="H5" i="13"/>
  <c r="G5" i="13"/>
  <c r="F5" i="13"/>
  <c r="E5" i="13"/>
  <c r="K12" i="2" s="1"/>
  <c r="D5" i="13"/>
  <c r="J12" i="2" s="1"/>
  <c r="C5" i="13"/>
  <c r="O5" i="13" s="1"/>
  <c r="O4" i="13"/>
  <c r="N5" i="12"/>
  <c r="M5" i="12"/>
  <c r="L5" i="12"/>
  <c r="K5" i="12"/>
  <c r="J5" i="12"/>
  <c r="I5" i="12"/>
  <c r="H5" i="12"/>
  <c r="G5" i="12"/>
  <c r="F5" i="12"/>
  <c r="E5" i="12"/>
  <c r="K11" i="2" s="1"/>
  <c r="D5" i="12"/>
  <c r="J11" i="2" s="1"/>
  <c r="C5" i="12"/>
  <c r="O5" i="12" s="1"/>
  <c r="O4" i="12"/>
  <c r="N5" i="11"/>
  <c r="M5" i="11"/>
  <c r="L5" i="11"/>
  <c r="K5" i="11"/>
  <c r="J5" i="11"/>
  <c r="I5" i="11"/>
  <c r="H5" i="11"/>
  <c r="G5" i="11"/>
  <c r="F5" i="11"/>
  <c r="E5" i="11"/>
  <c r="K10" i="2" s="1"/>
  <c r="D5" i="11"/>
  <c r="J10" i="2" s="1"/>
  <c r="C5" i="11"/>
  <c r="O4" i="11"/>
  <c r="N5" i="10"/>
  <c r="M5" i="10"/>
  <c r="L5" i="10"/>
  <c r="K5" i="10"/>
  <c r="J5" i="10"/>
  <c r="I5" i="10"/>
  <c r="H5" i="10"/>
  <c r="G5" i="10"/>
  <c r="F5" i="10"/>
  <c r="E5" i="10"/>
  <c r="K9" i="2" s="1"/>
  <c r="D5" i="10"/>
  <c r="J9" i="2" s="1"/>
  <c r="C5" i="10"/>
  <c r="O4" i="10"/>
  <c r="O5" i="9"/>
  <c r="N5" i="9"/>
  <c r="M5" i="9"/>
  <c r="L5" i="9"/>
  <c r="K5" i="9"/>
  <c r="J5" i="9"/>
  <c r="I5" i="9"/>
  <c r="H5" i="9"/>
  <c r="G5" i="9"/>
  <c r="F5" i="9"/>
  <c r="E5" i="9"/>
  <c r="D5" i="9"/>
  <c r="J8" i="2" s="1"/>
  <c r="C5" i="9"/>
  <c r="I8" i="2" s="1"/>
  <c r="O4" i="9"/>
  <c r="N6" i="8"/>
  <c r="M6" i="8"/>
  <c r="L6" i="8"/>
  <c r="K6" i="8"/>
  <c r="J6" i="8"/>
  <c r="I6" i="8"/>
  <c r="H6" i="8"/>
  <c r="G6" i="8"/>
  <c r="F6" i="8"/>
  <c r="E6" i="8"/>
  <c r="K7" i="2" s="1"/>
  <c r="D6" i="8"/>
  <c r="J7" i="2" s="1"/>
  <c r="C6" i="8"/>
  <c r="O5" i="8"/>
  <c r="O4" i="8"/>
  <c r="N5" i="7"/>
  <c r="M5" i="7"/>
  <c r="L5" i="7"/>
  <c r="K5" i="7"/>
  <c r="J5" i="7"/>
  <c r="I5" i="7"/>
  <c r="H5" i="7"/>
  <c r="G5" i="7"/>
  <c r="F5" i="7"/>
  <c r="E5" i="7"/>
  <c r="K6" i="2" s="1"/>
  <c r="D5" i="7"/>
  <c r="J6" i="2" s="1"/>
  <c r="C5" i="7"/>
  <c r="O4" i="7"/>
  <c r="N6" i="6"/>
  <c r="M6" i="6"/>
  <c r="L6" i="6"/>
  <c r="K6" i="6"/>
  <c r="J6" i="6"/>
  <c r="I6" i="6"/>
  <c r="H6" i="6"/>
  <c r="G6" i="6"/>
  <c r="F6" i="6"/>
  <c r="E6" i="6"/>
  <c r="K5" i="2" s="1"/>
  <c r="D6" i="6"/>
  <c r="J5" i="2" s="1"/>
  <c r="C6" i="6"/>
  <c r="I5" i="2" s="1"/>
  <c r="O5" i="6"/>
  <c r="O4" i="6"/>
  <c r="N6" i="5"/>
  <c r="M6" i="5"/>
  <c r="L6" i="5"/>
  <c r="K6" i="5"/>
  <c r="J6" i="5"/>
  <c r="I6" i="5"/>
  <c r="H6" i="5"/>
  <c r="G6" i="5"/>
  <c r="F6" i="5"/>
  <c r="E6" i="5"/>
  <c r="K4" i="2" s="1"/>
  <c r="D6" i="5"/>
  <c r="J4" i="2" s="1"/>
  <c r="C6" i="5"/>
  <c r="O5" i="5"/>
  <c r="O4" i="5"/>
  <c r="N5" i="4"/>
  <c r="M5" i="4"/>
  <c r="L5" i="4"/>
  <c r="K5" i="4"/>
  <c r="J5" i="4"/>
  <c r="I5" i="4"/>
  <c r="H5" i="4"/>
  <c r="G5" i="4"/>
  <c r="F5" i="4"/>
  <c r="E5" i="4"/>
  <c r="K3" i="2" s="1"/>
  <c r="D5" i="4"/>
  <c r="J3" i="2" s="1"/>
  <c r="C5" i="4"/>
  <c r="O4" i="4"/>
  <c r="N6" i="3"/>
  <c r="M6" i="3"/>
  <c r="L6" i="3"/>
  <c r="K6" i="3"/>
  <c r="J6" i="3"/>
  <c r="I6" i="3"/>
  <c r="H6" i="3"/>
  <c r="G6" i="3"/>
  <c r="F6" i="3"/>
  <c r="E6" i="3"/>
  <c r="K2" i="2" s="1"/>
  <c r="D6" i="3"/>
  <c r="J2" i="2" s="1"/>
  <c r="C6" i="3"/>
  <c r="O5" i="3"/>
  <c r="O4" i="3"/>
  <c r="Q15" i="2"/>
  <c r="O15" i="2"/>
  <c r="N15" i="2"/>
  <c r="M15" i="2"/>
  <c r="L15" i="2"/>
  <c r="T14" i="2"/>
  <c r="S14" i="2"/>
  <c r="R14" i="2"/>
  <c r="Q14" i="2"/>
  <c r="P14" i="2"/>
  <c r="O14" i="2"/>
  <c r="N14" i="2"/>
  <c r="M14" i="2"/>
  <c r="L14" i="2"/>
  <c r="K14" i="2"/>
  <c r="J14" i="2"/>
  <c r="I14" i="2"/>
  <c r="T13" i="2"/>
  <c r="S13" i="2"/>
  <c r="R13" i="2"/>
  <c r="Q13" i="2"/>
  <c r="P13" i="2"/>
  <c r="O13" i="2"/>
  <c r="N13" i="2"/>
  <c r="M13" i="2"/>
  <c r="L13" i="2"/>
  <c r="K13" i="2"/>
  <c r="I13" i="2"/>
  <c r="T12" i="2"/>
  <c r="S12" i="2"/>
  <c r="R12" i="2"/>
  <c r="Q12" i="2"/>
  <c r="P12" i="2"/>
  <c r="O12" i="2"/>
  <c r="N12" i="2"/>
  <c r="M12" i="2"/>
  <c r="L12" i="2"/>
  <c r="T11" i="2"/>
  <c r="S11" i="2"/>
  <c r="R11" i="2"/>
  <c r="Q11" i="2"/>
  <c r="P11" i="2"/>
  <c r="O11" i="2"/>
  <c r="N11" i="2"/>
  <c r="M11" i="2"/>
  <c r="L11" i="2"/>
  <c r="T10" i="2"/>
  <c r="S10" i="2"/>
  <c r="R10" i="2"/>
  <c r="Q10" i="2"/>
  <c r="P10" i="2"/>
  <c r="O10" i="2"/>
  <c r="N10" i="2"/>
  <c r="M10" i="2"/>
  <c r="L10" i="2"/>
  <c r="T9" i="2"/>
  <c r="S9" i="2"/>
  <c r="R9" i="2"/>
  <c r="Q9" i="2"/>
  <c r="P9" i="2"/>
  <c r="O9" i="2"/>
  <c r="N9" i="2"/>
  <c r="M9" i="2"/>
  <c r="L9" i="2"/>
  <c r="T8" i="2"/>
  <c r="S8" i="2"/>
  <c r="R8" i="2"/>
  <c r="Q8" i="2"/>
  <c r="P8" i="2"/>
  <c r="O8" i="2"/>
  <c r="N8" i="2"/>
  <c r="M8" i="2"/>
  <c r="L8" i="2"/>
  <c r="K8" i="2"/>
  <c r="T7" i="2"/>
  <c r="S7" i="2"/>
  <c r="R7" i="2"/>
  <c r="Q7" i="2"/>
  <c r="P7" i="2"/>
  <c r="O7" i="2"/>
  <c r="N7" i="2"/>
  <c r="M7" i="2"/>
  <c r="L7" i="2"/>
  <c r="T6" i="2"/>
  <c r="S6" i="2"/>
  <c r="R6" i="2"/>
  <c r="Q6" i="2"/>
  <c r="P6" i="2"/>
  <c r="O6" i="2"/>
  <c r="N6" i="2"/>
  <c r="M6" i="2"/>
  <c r="L6" i="2"/>
  <c r="T5" i="2"/>
  <c r="S5" i="2"/>
  <c r="R5" i="2"/>
  <c r="Q5" i="2"/>
  <c r="P5" i="2"/>
  <c r="O5" i="2"/>
  <c r="N5" i="2"/>
  <c r="M5" i="2"/>
  <c r="L5" i="2"/>
  <c r="T4" i="2"/>
  <c r="S4" i="2"/>
  <c r="R4" i="2"/>
  <c r="Q4" i="2"/>
  <c r="P4" i="2"/>
  <c r="O4" i="2"/>
  <c r="N4" i="2"/>
  <c r="M4" i="2"/>
  <c r="L4" i="2"/>
  <c r="T3" i="2"/>
  <c r="S3" i="2"/>
  <c r="R3" i="2"/>
  <c r="Q3" i="2"/>
  <c r="P3" i="2"/>
  <c r="O3" i="2"/>
  <c r="N3" i="2"/>
  <c r="M3" i="2"/>
  <c r="L3" i="2"/>
  <c r="T2" i="2"/>
  <c r="S2" i="2"/>
  <c r="R2" i="2"/>
  <c r="Q2" i="2"/>
  <c r="P2" i="2"/>
  <c r="O2" i="2"/>
  <c r="N2" i="2"/>
  <c r="M2" i="2"/>
  <c r="L2" i="2"/>
  <c r="O6" i="16" l="1"/>
  <c r="I12" i="2"/>
  <c r="I11" i="2"/>
  <c r="O5" i="11"/>
  <c r="O5" i="10"/>
  <c r="O6" i="8"/>
  <c r="O5" i="7"/>
  <c r="O6" i="6"/>
  <c r="O6" i="5"/>
  <c r="O5" i="4"/>
  <c r="I3" i="2"/>
  <c r="O6" i="3"/>
  <c r="I2" i="2"/>
  <c r="I10" i="2"/>
  <c r="I9" i="2"/>
  <c r="I7" i="2"/>
  <c r="R15" i="2"/>
  <c r="I6" i="2"/>
  <c r="I4" i="2"/>
</calcChain>
</file>

<file path=xl/sharedStrings.xml><?xml version="1.0" encoding="utf-8"?>
<sst xmlns="http://schemas.openxmlformats.org/spreadsheetml/2006/main" count="528" uniqueCount="150">
  <si>
    <t>QHSE Department — BSC KPI Follow-Up Workbook 2026</t>
  </si>
  <si>
    <t>DEPARTMENT</t>
  </si>
  <si>
    <t>QHSE (Quality, Health, Safety &amp; Environment)</t>
  </si>
  <si>
    <t>PURPOSE</t>
  </si>
  <si>
    <t>Track 14 QHSE-specific BSC KPIs monthly. Master Summary auto-updates from individual KPI sheets.</t>
  </si>
  <si>
    <t>KPI TYPES</t>
  </si>
  <si>
    <t xml:space="preserve">  Planned/Actual</t>
  </si>
  <si>
    <t>Two rows — enter Planned count and Actual count each month. Total auto-calculates %.
KPIs: Regulatory Approval, Audit Plan Adherence, CAPA Extension Rate, Doc Standardization,
Training Compliance, Budget Adherence, Process Review Rate</t>
  </si>
  <si>
    <t xml:space="preserve">  Actual Only</t>
  </si>
  <si>
    <t>One row — enter actual count each month. Total sums YTD.
KPIs: Quality Circular, Unscheduled Audits, Accident Rate, High Risk Incidents,
HSE Bulletins, Emergency Drills</t>
  </si>
  <si>
    <t xml:space="preserve">  Annual</t>
  </si>
  <si>
    <t>One row — enter value when measured (quarterly or annually). Blue input cells.
KPIs: Psychological Safety Index</t>
  </si>
  <si>
    <t>SHEETS (14 KPI sheets)</t>
  </si>
  <si>
    <t xml:space="preserve">  Regulatory Approval</t>
  </si>
  <si>
    <t>Regulatory Approval Currency Rate % — Target: 85%, Weight: 10%</t>
  </si>
  <si>
    <t xml:space="preserve">  Quality Circular Freq</t>
  </si>
  <si>
    <t>Quality Circular Frequency (count) — Target: 4, Weight: 10%</t>
  </si>
  <si>
    <t xml:space="preserve">  Audit Plan Adherence</t>
  </si>
  <si>
    <t>Annual Audit Plan Adherence % — Target: 95%, Weight: 15%</t>
  </si>
  <si>
    <t xml:space="preserve">  CAPA Extension Rate</t>
  </si>
  <si>
    <t>Internal Finding Due Date Extension Rate % — Target: Less than 15%, Weight: 5%</t>
  </si>
  <si>
    <t xml:space="preserve">  Unscheduled Audits</t>
  </si>
  <si>
    <t>Unscheduled Audit Frequency (count) — Target: Less than 5, Weight: 5%</t>
  </si>
  <si>
    <t xml:space="preserve">  Doc Standardization</t>
  </si>
  <si>
    <t>Document Standardization Rate % — Target: 95%, Weight: 10%</t>
  </si>
  <si>
    <t xml:space="preserve">  Psych Safety Index</t>
  </si>
  <si>
    <t>Psychological Safety Index % (annual) — Target: ≥70%, Weight: 5%</t>
  </si>
  <si>
    <t xml:space="preserve">  Accident Rate</t>
  </si>
  <si>
    <t>Accident Rate (per 100,000 Flt Hrs) (count) — Target: 0, Weight: 5%</t>
  </si>
  <si>
    <t xml:space="preserve">  High Risk Incidents</t>
  </si>
  <si>
    <t>High Risk Incident Rate (per 100,000 Flt Hrs.) (count) — Target: 0, Weight: 5%</t>
  </si>
  <si>
    <t xml:space="preserve">  HSE Bulletins</t>
  </si>
  <si>
    <t>HSE Bulletins/Alerts Frequency (count) — Target: 4, Weight: 10%</t>
  </si>
  <si>
    <t xml:space="preserve">  Emergency Drills</t>
  </si>
  <si>
    <t>Emergency Drills Frequency (count) — Target: 2, Weight: 5%</t>
  </si>
  <si>
    <t xml:space="preserve">  Training Compliance</t>
  </si>
  <si>
    <t>Mandatory Training Compliance % — Target: 100%, Weight: 5%</t>
  </si>
  <si>
    <t xml:space="preserve">  Budget Adherence</t>
  </si>
  <si>
    <t>Budget Adherence % — Target: &lt;100%, Weight: 5%</t>
  </si>
  <si>
    <t xml:space="preserve">  Proc Review Rate</t>
  </si>
  <si>
    <t>Review Process &amp; Procedures Update Rate % — Target: 90%, Weight: 5%</t>
  </si>
  <si>
    <t>DATA ENTRY</t>
  </si>
  <si>
    <t>• Enter numbers only in coloured input cells
• Leave blank if no data
• For annual KPIs, enter value in the relevant month</t>
  </si>
  <si>
    <t>FREQUENCY</t>
  </si>
  <si>
    <t>Monthly — by 5th of following month</t>
  </si>
  <si>
    <t>OWNER</t>
  </si>
  <si>
    <t>QHSE Department Head</t>
  </si>
  <si>
    <t>KPI Name</t>
  </si>
  <si>
    <t>Target</t>
  </si>
  <si>
    <t>Customer / Stakeholder</t>
  </si>
  <si>
    <t>Regulatory Approval Currency Rate %</t>
  </si>
  <si>
    <t>Learning &amp; Growth</t>
  </si>
  <si>
    <t>Quality Circular Frequency</t>
  </si>
  <si>
    <t>Internal Process</t>
  </si>
  <si>
    <t>Annual Audit Plan Adherence %</t>
  </si>
  <si>
    <t>Internal Finding Due Date Extension Rate %</t>
  </si>
  <si>
    <t>Unscheduled Audit Frequency</t>
  </si>
  <si>
    <t>Document Standardization Rate %</t>
  </si>
  <si>
    <t>Psychological Safety Index %</t>
  </si>
  <si>
    <t>Accident Rate (per 100,000 Flt Hrs)</t>
  </si>
  <si>
    <t>High Risk Incident Rate (per 100,000 Flt Hrs.)</t>
  </si>
  <si>
    <t>HSE Bulletins/Alerts Frequency</t>
  </si>
  <si>
    <t>Emergency Drills Frequency</t>
  </si>
  <si>
    <t>Mandatory Training Compliance %</t>
  </si>
  <si>
    <t>Financial</t>
  </si>
  <si>
    <t>Budget Adherence %</t>
  </si>
  <si>
    <t>Review Process &amp; Procedures Update Rate %</t>
  </si>
  <si>
    <t>Theme: Governance  |  Enabler: Organization System  |  Objective: Strengthen Governance, Controls &amp; Risk Management  |  Target: 85%  |  Weight: 10%</t>
  </si>
  <si>
    <t>Department</t>
  </si>
  <si>
    <t>Planned/Actual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</si>
  <si>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</si>
  <si>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</si>
  <si>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</si>
  <si>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</si>
  <si>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</si>
  <si>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</si>
  <si>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</si>
  <si>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</si>
  <si>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</si>
  <si>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</si>
  <si>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</si>
  <si>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</si>
  <si>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YTD Avg 2026</t>
  </si>
  <si>
    <t>QHSE</t>
  </si>
  <si>
    <t>Total Regulatory Approvals Required</t>
  </si>
  <si>
    <t>Total</t>
  </si>
  <si>
    <t>Theme: Safety  |  Enabler: Safety &amp; Operational Reliability  |  Objective: Achieve Zero Major Incidents &amp; Safety Non-Conformities  |  Target: 4  |  Weight: 10%</t>
  </si>
  <si>
    <t>Metric</t>
  </si>
  <si>
    <t>YTD Total</t>
  </si>
  <si>
    <t>Quality Circulars Issued</t>
  </si>
  <si>
    <t>Total Quality Circulars Issued YTD</t>
  </si>
  <si>
    <t>Theme: Governance  |  Enabler: Organization System  |  Objective: Strengthen Governance, Controls &amp; Risk Management  |  Target: 95%  |  Weight: 15%</t>
  </si>
  <si>
    <t>Planned Audits per Schedule</t>
  </si>
  <si>
    <t>Actual Audits Completed</t>
  </si>
  <si>
    <t>Theme: Governance  |  Enabler: Safety &amp; Operational Reliability  |  Objective: Strengthen Governance, Controls &amp; Risk Management  |  Target: Less than 15%  |  Weight: 5%</t>
  </si>
  <si>
    <t>Total Findings Issued</t>
  </si>
  <si>
    <t>Findings with CAPA Extension</t>
  </si>
  <si>
    <t>Theme: Governance  |  Enabler: Organization System  |  Objective: Strengthen Governance, Controls &amp; Risk Management  |  Target: Less than 5  |  Weight: 5%</t>
  </si>
  <si>
    <t>Unscheduled Audits Conducted</t>
  </si>
  <si>
    <t>Total Unscheduled Audits YTD</t>
  </si>
  <si>
    <t>Theme: Business Transformation  |  Enabler: Organization System  |  Objective: Drive Strategic Transformation &amp; Digital Enablement  |  Target: 95%  |  Weight: 10%</t>
  </si>
  <si>
    <t>Total QHSE Documents in Scope</t>
  </si>
  <si>
    <t>Documents Standardized &amp; Digitalized</t>
  </si>
  <si>
    <t>Psychological Safety Index %  (Annual KPI)</t>
  </si>
  <si>
    <t>Theme: Safety  |  Enabler: Safety &amp; Operational Reliability  |  Objective: Achieve Zero Major Incidents &amp; Safety Non-Conformities  |  Target: ≥70%  |  Weight: 5%</t>
  </si>
  <si>
    <t>Annual Value</t>
  </si>
  <si>
    <t>Psychological Safety Survey Score %</t>
  </si>
  <si>
    <t>Theme: Safety  |  Enabler: Safety &amp; Operational Reliability  |  Objective: Achieve Zero Major Incidents &amp; Safety Non-Conformities  |  Target: 0  |  Weight: 5%</t>
  </si>
  <si>
    <t>YTD Accident Rate</t>
  </si>
  <si>
    <t>High Risk Incidents (per 100,000 Flt Hrs)</t>
  </si>
  <si>
    <t>YTD High Risk Incident Rate</t>
  </si>
  <si>
    <t>Theme: Safety  |  Enabler: Skilled Workforce  |  Objective: Sustain Workforce Competency, Leadership &amp; Culture  |  Target: 4  |  Weight: 10%</t>
  </si>
  <si>
    <t>HSE Bulletins/Alerts Issued</t>
  </si>
  <si>
    <t>Total HSE Bulletins/Alerts YTD</t>
  </si>
  <si>
    <t>Theme: Business Transformation  |  Enabler: Safety &amp; Operational Reliability  |  Objective: Achieve Zero Major Incidents &amp; Safety Non-Conformities  |  Target: 2  |  Weight: 5%</t>
  </si>
  <si>
    <t>Emergency Drills Conducted</t>
  </si>
  <si>
    <t>Total Emergency Drills YTD</t>
  </si>
  <si>
    <t>Theme: Skilled Workforce  |  Enabler: Skilled Workforce  |  Objective: Sustain Workforce Competency, Leadership &amp; Culture  |  Target: 100%  |  Weight: 5%</t>
  </si>
  <si>
    <t>Total QHSE Staff Requiring Certification</t>
  </si>
  <si>
    <t>Staff with Valid Certification</t>
  </si>
  <si>
    <t>Theme: Governance  |  Enabler: Organization System  |  Objective: Maintain budget compliance  |  Target: &lt;100%  |  Weight: 5%</t>
  </si>
  <si>
    <t>Approved Budget</t>
  </si>
  <si>
    <t>Actual Expenditure</t>
  </si>
  <si>
    <t>Theme: Governance  |  Enabler: Safety &amp; Operational Reliability  |  Objective: Ensure systematic review, updating, and implementation of policies and procedures.  |  Target: 90%  |  Weight: 5%</t>
  </si>
  <si>
    <t>Total Procedures Due for Review</t>
  </si>
  <si>
    <t>Procedures Reviewed &amp; Updated</t>
  </si>
  <si>
    <t>Perspective</t>
  </si>
  <si>
    <t>Unit</t>
  </si>
  <si>
    <t>%</t>
  </si>
  <si>
    <t>Lower is Better</t>
  </si>
  <si>
    <t>Target Type</t>
  </si>
  <si>
    <t>Target Date</t>
  </si>
  <si>
    <t>#</t>
  </si>
  <si>
    <t>Hrs</t>
  </si>
  <si>
    <t>No</t>
  </si>
  <si>
    <t>Yes</t>
  </si>
  <si>
    <t>Regular</t>
  </si>
  <si>
    <t>Weight %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</si>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</sst>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B4D4D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444444"/>
      <name val="Arial"/>
      <family val="2"/>
    </font>
    <font>
      <b/>
      <sz val="10"/>
      <color rgb="FFFFFFFF"/>
      <name val="Arial"/>
      <family val="2"/>
    </font>
    <font>
      <b/>
      <sz val="12"/>
      <color rgb="FF000000"/>
      <name val="Arial"/>
      <family val="2"/>
    </font>
    <font>
      <i/>
      <sz val="9"/>
      <color rgb="FF555555"/>
      <name val="Arial"/>
      <family val="2"/>
    </font>
    <font>
      <b/>
      <sz val="10"/>
      <color rgb="FF1B4D4D"/>
      <name val="Arial"/>
      <family val="2"/>
    </font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B4D4D"/>
        <bgColor rgb="FF444444"/>
      </patternFill>
    </fill>
    <fill>
      <patternFill patternType="solid">
        <fgColor rgb="FFD9E2F3"/>
        <bgColor rgb="FFD9E1F2"/>
      </patternFill>
    </fill>
    <fill>
      <patternFill patternType="solid">
        <fgColor rgb="FFF2DCDB"/>
        <bgColor rgb="FFE8E8E8"/>
      </patternFill>
    </fill>
    <fill>
      <patternFill patternType="solid">
        <fgColor rgb="FFE2EFDA"/>
        <bgColor rgb="FFE8E8E8"/>
      </patternFill>
    </fill>
    <fill>
      <patternFill patternType="solid">
        <fgColor rgb="FFFFF2CC"/>
        <bgColor rgb="FFF5F5F5"/>
      </patternFill>
    </fill>
    <fill>
      <patternFill patternType="solid">
        <fgColor rgb="FFF5F5F5"/>
        <bgColor rgb="FFE8F0FE"/>
      </patternFill>
    </fill>
    <fill>
      <patternFill patternType="solid">
        <fgColor rgb="FFFFFFF0"/>
        <bgColor rgb="FFFFFFFF"/>
      </patternFill>
    </fill>
    <fill>
      <patternFill patternType="solid">
        <fgColor rgb="FFE8E8E8"/>
        <bgColor rgb="FFE2EFDA"/>
      </patternFill>
    </fill>
    <fill>
      <patternFill patternType="solid">
        <fgColor rgb="FFE8F0FE"/>
        <bgColor rgb="FFF5F5F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44444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9" fontId="4" fillId="5" borderId="3" xfId="0" applyNumberFormat="1" applyFont="1" applyFill="1" applyBorder="1" applyAlignment="1">
      <alignment horizontal="center" vertical="center"/>
    </xf>
    <xf numFmtId="9" fontId="4" fillId="4" borderId="3" xfId="0" applyNumberFormat="1" applyFont="1" applyFill="1" applyBorder="1" applyAlignment="1">
      <alignment horizontal="center" vertical="center"/>
    </xf>
    <xf numFmtId="39" fontId="4" fillId="3" borderId="3" xfId="1" applyNumberFormat="1" applyFont="1" applyFill="1" applyBorder="1" applyAlignment="1">
      <alignment horizontal="center" vertical="center"/>
    </xf>
    <xf numFmtId="9" fontId="1" fillId="3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9" fontId="1" fillId="5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9" fontId="1" fillId="4" borderId="3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8F0FE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F0"/>
      <rgbColor rgb="FFE8E8E8"/>
      <rgbColor rgb="FFF5F5F5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4D4D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1"/>
  <sheetViews>
    <sheetView zoomScaleNormal="100" workbookViewId="0">
      <selection activeCell="C28" sqref="C28"/>
    </sheetView>
  </sheetViews>
  <sheetFormatPr defaultColWidth="8.7109375" defaultRowHeight="15" x14ac:dyDescent="0.25"/>
  <cols>
    <col min="1" max="1" width="5" customWidth="1"/>
    <col min="2" max="2" width="28" customWidth="1"/>
    <col min="3" max="3" width="80" customWidth="1"/>
  </cols>
  <sheetData>
    <row r="1" spans="2:3" ht="34.5" customHeight="1" x14ac:dyDescent="0.3">
      <c r="B1" s="45" t="s">
        <v>0</v>
      </c>
      <c r="C1" s="45"/>
    </row>
    <row r="4" spans="2:3" ht="19.5" customHeight="1" x14ac:dyDescent="0.25">
      <c r="B4" s="1" t="s">
        <v>1</v>
      </c>
      <c r="C4" s="2" t="s">
        <v>2</v>
      </c>
    </row>
    <row r="6" spans="2:3" ht="27" customHeight="1" x14ac:dyDescent="0.25">
      <c r="B6" s="1" t="s">
        <v>3</v>
      </c>
      <c r="C6" s="2" t="s">
        <v>4</v>
      </c>
    </row>
    <row r="8" spans="2:3" x14ac:dyDescent="0.25">
      <c r="B8" s="1" t="s">
        <v>5</v>
      </c>
    </row>
    <row r="9" spans="2:3" ht="45" customHeight="1" x14ac:dyDescent="0.25">
      <c r="B9" s="3" t="s">
        <v>6</v>
      </c>
      <c r="C9" s="2" t="s">
        <v>7</v>
      </c>
    </row>
    <row r="10" spans="2:3" ht="45" customHeight="1" x14ac:dyDescent="0.25">
      <c r="B10" s="3" t="s">
        <v>8</v>
      </c>
      <c r="C10" s="2" t="s">
        <v>9</v>
      </c>
    </row>
    <row r="11" spans="2:3" ht="30" customHeight="1" x14ac:dyDescent="0.25">
      <c r="B11" s="3" t="s">
        <v>10</v>
      </c>
      <c r="C11" s="2" t="s">
        <v>11</v>
      </c>
    </row>
    <row r="13" spans="2:3" x14ac:dyDescent="0.25">
      <c r="B13" s="1" t="s">
        <v>12</v>
      </c>
    </row>
    <row r="14" spans="2:3" ht="19.5" customHeight="1" x14ac:dyDescent="0.25">
      <c r="B14" s="3" t="s">
        <v>13</v>
      </c>
      <c r="C14" s="2" t="s">
        <v>14</v>
      </c>
    </row>
    <row r="15" spans="2:3" ht="19.5" customHeight="1" x14ac:dyDescent="0.25">
      <c r="B15" s="3" t="s">
        <v>15</v>
      </c>
      <c r="C15" s="2" t="s">
        <v>16</v>
      </c>
    </row>
    <row r="16" spans="2:3" ht="19.5" customHeight="1" x14ac:dyDescent="0.25">
      <c r="B16" s="3" t="s">
        <v>17</v>
      </c>
      <c r="C16" s="2" t="s">
        <v>18</v>
      </c>
    </row>
    <row r="17" spans="2:3" ht="19.5" customHeight="1" x14ac:dyDescent="0.25">
      <c r="B17" s="3" t="s">
        <v>19</v>
      </c>
      <c r="C17" s="2" t="s">
        <v>20</v>
      </c>
    </row>
    <row r="18" spans="2:3" ht="19.5" customHeight="1" x14ac:dyDescent="0.25">
      <c r="B18" s="3" t="s">
        <v>21</v>
      </c>
      <c r="C18" s="2" t="s">
        <v>22</v>
      </c>
    </row>
    <row r="19" spans="2:3" ht="19.5" customHeight="1" x14ac:dyDescent="0.25">
      <c r="B19" s="3" t="s">
        <v>23</v>
      </c>
      <c r="C19" s="2" t="s">
        <v>24</v>
      </c>
    </row>
    <row r="20" spans="2:3" ht="19.5" customHeight="1" x14ac:dyDescent="0.25">
      <c r="B20" s="3" t="s">
        <v>25</v>
      </c>
      <c r="C20" s="2" t="s">
        <v>26</v>
      </c>
    </row>
    <row r="21" spans="2:3" ht="19.5" customHeight="1" x14ac:dyDescent="0.25">
      <c r="B21" s="3" t="s">
        <v>27</v>
      </c>
      <c r="C21" s="2" t="s">
        <v>28</v>
      </c>
    </row>
    <row r="22" spans="2:3" ht="19.5" customHeight="1" x14ac:dyDescent="0.25">
      <c r="B22" s="3" t="s">
        <v>29</v>
      </c>
      <c r="C22" s="2" t="s">
        <v>30</v>
      </c>
    </row>
    <row r="23" spans="2:3" ht="19.5" customHeight="1" x14ac:dyDescent="0.25">
      <c r="B23" s="3" t="s">
        <v>31</v>
      </c>
      <c r="C23" s="2" t="s">
        <v>32</v>
      </c>
    </row>
    <row r="24" spans="2:3" ht="19.5" customHeight="1" x14ac:dyDescent="0.25">
      <c r="B24" s="3" t="s">
        <v>33</v>
      </c>
      <c r="C24" s="2" t="s">
        <v>34</v>
      </c>
    </row>
    <row r="25" spans="2:3" ht="19.5" customHeight="1" x14ac:dyDescent="0.25">
      <c r="B25" s="3" t="s">
        <v>35</v>
      </c>
      <c r="C25" s="2" t="s">
        <v>36</v>
      </c>
    </row>
    <row r="26" spans="2:3" ht="19.5" customHeight="1" x14ac:dyDescent="0.25">
      <c r="B26" s="3" t="s">
        <v>37</v>
      </c>
      <c r="C26" s="2" t="s">
        <v>38</v>
      </c>
    </row>
    <row r="27" spans="2:3" ht="19.5" customHeight="1" x14ac:dyDescent="0.25">
      <c r="B27" s="3" t="s">
        <v>39</v>
      </c>
      <c r="C27" s="2" t="s">
        <v>40</v>
      </c>
    </row>
    <row r="29" spans="2:3" ht="45" customHeight="1" x14ac:dyDescent="0.25">
      <c r="B29" s="26" t="s">
        <v>41</v>
      </c>
      <c r="C29" s="2" t="s">
        <v>42</v>
      </c>
    </row>
    <row r="30" spans="2:3" ht="19.5" customHeight="1" x14ac:dyDescent="0.25">
      <c r="B30" s="26" t="s">
        <v>43</v>
      </c>
      <c r="C30" s="2" t="s">
        <v>44</v>
      </c>
    </row>
    <row r="31" spans="2:3" ht="19.5" customHeight="1" x14ac:dyDescent="0.25">
      <c r="B31" s="26" t="s">
        <v>45</v>
      </c>
      <c r="C31" s="2" t="s">
        <v>46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"/>
  <sheetViews>
    <sheetView tabSelected="1" zoomScaleNormal="100" workbookViewId="0">
      <pane xSplit="8" ySplit="1" topLeftCell="I2" activePane="bottomRight" state="frozen"/>
      <selection pane="topRight" activeCell="H1" sqref="H1"/>
      <selection pane="bottomLeft" activeCell="A4" sqref="A4"/>
      <selection pane="bottomRight" activeCell="A13" sqref="A13"/>
    </sheetView>
  </sheetViews>
  <sheetFormatPr defaultColWidth="8.7109375" defaultRowHeight="15" x14ac:dyDescent="0.25"/>
  <cols>
    <col min="1" max="1" width="38" customWidth="1"/>
    <col min="2" max="2" width="15" customWidth="1"/>
    <col min="3" max="7" width="13.85546875" customWidth="1"/>
    <col min="8" max="8" width="11.85546875" customWidth="1"/>
    <col min="9" max="20" width="11" customWidth="1"/>
  </cols>
  <sheetData>
    <row r="1" spans="1:20" ht="37.5" customHeight="1" x14ac:dyDescent="0.25">
      <c r="A1" s="43" t="s">
        <v>47</v>
      </c>
      <c r="B1" s="43" t="s">
        <v>126</v>
      </c>
      <c r="C1" s="43" t="s">
        <v>48</v>
      </c>
      <c r="D1" s="43" t="s">
        <v>127</v>
      </c>
      <c r="E1" s="43" t="s">
        <v>129</v>
      </c>
      <c r="F1" s="43" t="s">
        <v>130</v>
      </c>
      <c r="G1" s="43" t="s">
        <v>131</v>
      </c>
      <c r="H1" s="43" t="s">
        <v>137</v>
      </c>
      <c r="I1" s="44" t="s">
        <v>70</v>
      </c>
      <c r="J1" s="44" t="s">
        <v>71</v>
      </c>
      <c r="K1" s="44" t="s">
        <v>72</v>
      </c>
      <c r="L1" s="44" t="s">
        <v>73</v>
      </c>
      <c r="M1" s="44" t="s">
        <v>74</v>
      </c>
      <c r="N1" s="44" t="s">
        <v>75</v>
      </c>
      <c r="O1" s="44" t="s">
        <v>76</v>
      </c>
      <c r="P1" s="44" t="s">
        <v>77</v>
      </c>
      <c r="Q1" s="44" t="s">
        <v>78</v>
      </c>
      <c r="R1" s="44" t="s">
        <v>79</v>
      </c>
      <c r="S1" s="44" t="s">
        <v>80</v>
      </c>
      <c r="T1" s="44" t="s">
        <v>81</v>
      </c>
    </row>
    <row r="2" spans="1:20" ht="31.5" customHeight="1" x14ac:dyDescent="0.25">
      <c r="A2" s="15" t="s">
        <v>50</v>
      </c>
      <c r="B2" s="14" t="s">
        <v>49</v>
      </c>
      <c r="C2" s="31">
        <v>85</v>
      </c>
      <c r="D2" s="32" t="s">
        <v>128</v>
      </c>
      <c r="E2" s="32" t="s">
        <v>134</v>
      </c>
      <c r="F2" s="32" t="s">
        <v>136</v>
      </c>
      <c r="G2" s="32"/>
      <c r="H2" s="42">
        <v>10</v>
      </c>
      <c r="I2" s="16">
        <f>IFERROR('Regulatory Approval'!C6,"")</f>
        <v>100</v>
      </c>
      <c r="J2" s="16">
        <f>IFERROR('Regulatory Approval'!D6,"")</f>
        <v>100</v>
      </c>
      <c r="K2" s="16">
        <f>IFERROR('Regulatory Approval'!E6,"")</f>
        <v>60</v>
      </c>
      <c r="L2" s="16" t="str">
        <f>IFERROR('Regulatory Approval'!F6,"")</f>
        <v/>
      </c>
      <c r="M2" s="16" t="str">
        <f>IFERROR('Regulatory Approval'!G6,"")</f>
        <v/>
      </c>
      <c r="N2" s="16" t="str">
        <f>IFERROR('Regulatory Approval'!H6,"")</f>
        <v/>
      </c>
      <c r="O2" s="16" t="str">
        <f>IFERROR('Regulatory Approval'!I6,"")</f>
        <v/>
      </c>
      <c r="P2" s="16" t="str">
        <f>IFERROR('Regulatory Approval'!J6,"")</f>
        <v/>
      </c>
      <c r="Q2" s="16" t="str">
        <f>IFERROR('Regulatory Approval'!K6,"")</f>
        <v/>
      </c>
      <c r="R2" s="16" t="str">
        <f>IFERROR('Regulatory Approval'!L6,"")</f>
        <v/>
      </c>
      <c r="S2" s="16" t="str">
        <f>IFERROR('Regulatory Approval'!M6,"")</f>
        <v/>
      </c>
      <c r="T2" s="16" t="str">
        <f>IFERROR('Regulatory Approval'!N6,"")</f>
        <v/>
      </c>
    </row>
    <row r="3" spans="1:20" ht="31.5" customHeight="1" x14ac:dyDescent="0.25">
      <c r="A3" s="19" t="s">
        <v>52</v>
      </c>
      <c r="B3" s="18" t="s">
        <v>51</v>
      </c>
      <c r="C3" s="17">
        <v>4</v>
      </c>
      <c r="D3" s="33" t="s">
        <v>132</v>
      </c>
      <c r="E3" s="17" t="s">
        <v>134</v>
      </c>
      <c r="F3" s="17" t="s">
        <v>136</v>
      </c>
      <c r="G3" s="17"/>
      <c r="H3" s="40">
        <v>10</v>
      </c>
      <c r="I3" s="16">
        <f>IFERROR('Quality Circular Freq'!C5,"")</f>
        <v>0</v>
      </c>
      <c r="J3" s="16">
        <f>IFERROR('Quality Circular Freq'!D5,"")</f>
        <v>0</v>
      </c>
      <c r="K3" s="16">
        <f>IFERROR('Quality Circular Freq'!E5,"")</f>
        <v>1</v>
      </c>
      <c r="L3" s="16">
        <f>IFERROR('Quality Circular Freq'!F5,"")</f>
        <v>0</v>
      </c>
      <c r="M3" s="16">
        <f>IFERROR('Quality Circular Freq'!G5,"")</f>
        <v>0</v>
      </c>
      <c r="N3" s="16">
        <f>IFERROR('Quality Circular Freq'!H5,"")</f>
        <v>0</v>
      </c>
      <c r="O3" s="16">
        <f>IFERROR('Quality Circular Freq'!I5,"")</f>
        <v>0</v>
      </c>
      <c r="P3" s="16">
        <f>IFERROR('Quality Circular Freq'!J5,"")</f>
        <v>0</v>
      </c>
      <c r="Q3" s="16">
        <f>IFERROR('Quality Circular Freq'!K5,"")</f>
        <v>0</v>
      </c>
      <c r="R3" s="16">
        <f>IFERROR('Quality Circular Freq'!L5,"")</f>
        <v>0</v>
      </c>
      <c r="S3" s="16">
        <f>IFERROR('Quality Circular Freq'!M5,"")</f>
        <v>0</v>
      </c>
      <c r="T3" s="16">
        <f>IFERROR('Quality Circular Freq'!N5,"")</f>
        <v>0</v>
      </c>
    </row>
    <row r="4" spans="1:20" ht="31.5" customHeight="1" x14ac:dyDescent="0.25">
      <c r="A4" s="22" t="s">
        <v>54</v>
      </c>
      <c r="B4" s="21" t="s">
        <v>53</v>
      </c>
      <c r="C4" s="39">
        <v>95</v>
      </c>
      <c r="D4" s="34" t="s">
        <v>128</v>
      </c>
      <c r="E4" s="29" t="s">
        <v>134</v>
      </c>
      <c r="F4" s="29" t="s">
        <v>136</v>
      </c>
      <c r="G4" s="29"/>
      <c r="H4" s="39">
        <v>15</v>
      </c>
      <c r="I4" s="16" t="str">
        <f>IFERROR('Audit Plan Adherence'!C6,"")</f>
        <v/>
      </c>
      <c r="J4" s="16">
        <f>IFERROR('Audit Plan Adherence'!D6,"")</f>
        <v>83.333333333333343</v>
      </c>
      <c r="K4" s="16">
        <f>IFERROR('Audit Plan Adherence'!E6,"")</f>
        <v>120</v>
      </c>
      <c r="L4" s="16" t="str">
        <f>IFERROR('Audit Plan Adherence'!F6,"")</f>
        <v/>
      </c>
      <c r="M4" s="16" t="str">
        <f>IFERROR('Audit Plan Adherence'!G6,"")</f>
        <v/>
      </c>
      <c r="N4" s="16" t="str">
        <f>IFERROR('Audit Plan Adherence'!H6,"")</f>
        <v/>
      </c>
      <c r="O4" s="16" t="str">
        <f>IFERROR('Audit Plan Adherence'!I6,"")</f>
        <v/>
      </c>
      <c r="P4" s="16" t="str">
        <f>IFERROR('Audit Plan Adherence'!J6,"")</f>
        <v/>
      </c>
      <c r="Q4" s="16" t="str">
        <f>IFERROR('Audit Plan Adherence'!K6,"")</f>
        <v/>
      </c>
      <c r="R4" s="16" t="str">
        <f>IFERROR('Audit Plan Adherence'!L6,"")</f>
        <v/>
      </c>
      <c r="S4" s="16" t="str">
        <f>IFERROR('Audit Plan Adherence'!M6,"")</f>
        <v/>
      </c>
      <c r="T4" s="16" t="str">
        <f>IFERROR('Audit Plan Adherence'!N6,"")</f>
        <v/>
      </c>
    </row>
    <row r="5" spans="1:20" ht="31.5" customHeight="1" x14ac:dyDescent="0.25">
      <c r="A5" s="22" t="s">
        <v>55</v>
      </c>
      <c r="B5" s="21" t="s">
        <v>53</v>
      </c>
      <c r="C5" s="39">
        <v>15</v>
      </c>
      <c r="D5" s="34" t="s">
        <v>128</v>
      </c>
      <c r="E5" s="34" t="s">
        <v>135</v>
      </c>
      <c r="F5" s="29" t="s">
        <v>136</v>
      </c>
      <c r="G5" s="29"/>
      <c r="H5" s="39">
        <v>5</v>
      </c>
      <c r="I5" s="16">
        <f>IFERROR('CAPA Extension Rate'!C6,"")</f>
        <v>9.0909090909090917</v>
      </c>
      <c r="J5" s="16">
        <f>IFERROR('CAPA Extension Rate'!D6,"")</f>
        <v>12</v>
      </c>
      <c r="K5" s="16">
        <f>IFERROR('CAPA Extension Rate'!E6,"")</f>
        <v>2.8571428571428572</v>
      </c>
      <c r="L5" s="16" t="str">
        <f>IFERROR('CAPA Extension Rate'!F6,"")</f>
        <v/>
      </c>
      <c r="M5" s="16" t="str">
        <f>IFERROR('CAPA Extension Rate'!G6,"")</f>
        <v/>
      </c>
      <c r="N5" s="16" t="str">
        <f>IFERROR('CAPA Extension Rate'!H6,"")</f>
        <v/>
      </c>
      <c r="O5" s="16" t="str">
        <f>IFERROR('CAPA Extension Rate'!I6,"")</f>
        <v/>
      </c>
      <c r="P5" s="16" t="str">
        <f>IFERROR('CAPA Extension Rate'!J6,"")</f>
        <v/>
      </c>
      <c r="Q5" s="16" t="str">
        <f>IFERROR('CAPA Extension Rate'!K6,"")</f>
        <v/>
      </c>
      <c r="R5" s="16" t="str">
        <f>IFERROR('CAPA Extension Rate'!L6,"")</f>
        <v/>
      </c>
      <c r="S5" s="16" t="str">
        <f>IFERROR('CAPA Extension Rate'!M6,"")</f>
        <v/>
      </c>
      <c r="T5" s="16" t="str">
        <f>IFERROR('CAPA Extension Rate'!N6,"")</f>
        <v/>
      </c>
    </row>
    <row r="6" spans="1:20" ht="31.5" customHeight="1" x14ac:dyDescent="0.25">
      <c r="A6" s="22" t="s">
        <v>56</v>
      </c>
      <c r="B6" s="21" t="s">
        <v>53</v>
      </c>
      <c r="C6" s="20">
        <v>5</v>
      </c>
      <c r="D6" s="35" t="s">
        <v>132</v>
      </c>
      <c r="E6" s="35" t="s">
        <v>135</v>
      </c>
      <c r="F6" s="20" t="s">
        <v>136</v>
      </c>
      <c r="G6" s="20"/>
      <c r="H6" s="39">
        <v>5</v>
      </c>
      <c r="I6" s="16">
        <f>IFERROR('Unscheduled Audits'!C5,"")</f>
        <v>0</v>
      </c>
      <c r="J6" s="16">
        <f>IFERROR('Unscheduled Audits'!D5,"")</f>
        <v>0</v>
      </c>
      <c r="K6" s="16">
        <f>IFERROR('Unscheduled Audits'!E5,"")</f>
        <v>2</v>
      </c>
      <c r="L6" s="16">
        <f>IFERROR('Unscheduled Audits'!F5,"")</f>
        <v>0</v>
      </c>
      <c r="M6" s="16">
        <f>IFERROR('Unscheduled Audits'!G5,"")</f>
        <v>0</v>
      </c>
      <c r="N6" s="16">
        <f>IFERROR('Unscheduled Audits'!H5,"")</f>
        <v>0</v>
      </c>
      <c r="O6" s="16">
        <f>IFERROR('Unscheduled Audits'!I5,"")</f>
        <v>0</v>
      </c>
      <c r="P6" s="16">
        <f>IFERROR('Unscheduled Audits'!J5,"")</f>
        <v>0</v>
      </c>
      <c r="Q6" s="16">
        <f>IFERROR('Unscheduled Audits'!K5,"")</f>
        <v>0</v>
      </c>
      <c r="R6" s="16">
        <f>IFERROR('Unscheduled Audits'!L5,"")</f>
        <v>0</v>
      </c>
      <c r="S6" s="16">
        <f>IFERROR('Unscheduled Audits'!M5,"")</f>
        <v>0</v>
      </c>
      <c r="T6" s="16">
        <f>IFERROR('Unscheduled Audits'!N5,"")</f>
        <v>0</v>
      </c>
    </row>
    <row r="7" spans="1:20" ht="31.5" customHeight="1" x14ac:dyDescent="0.25">
      <c r="A7" s="22" t="s">
        <v>57</v>
      </c>
      <c r="B7" s="21" t="s">
        <v>53</v>
      </c>
      <c r="C7" s="39">
        <v>95</v>
      </c>
      <c r="D7" s="34" t="s">
        <v>128</v>
      </c>
      <c r="E7" s="34" t="s">
        <v>134</v>
      </c>
      <c r="F7" s="29" t="s">
        <v>136</v>
      </c>
      <c r="G7" s="29"/>
      <c r="H7" s="39">
        <v>10</v>
      </c>
      <c r="I7" s="16" t="str">
        <f>IFERROR('Doc Standardization'!C6,"")</f>
        <v/>
      </c>
      <c r="J7" s="16" t="str">
        <f>IFERROR('Doc Standardization'!D6,"")</f>
        <v/>
      </c>
      <c r="K7" s="16">
        <f>IFERROR('Doc Standardization'!E6,"")</f>
        <v>100</v>
      </c>
      <c r="L7" s="16" t="str">
        <f>IFERROR('Doc Standardization'!F6,"")</f>
        <v/>
      </c>
      <c r="M7" s="16" t="str">
        <f>IFERROR('Doc Standardization'!G6,"")</f>
        <v/>
      </c>
      <c r="N7" s="16" t="str">
        <f>IFERROR('Doc Standardization'!H6,"")</f>
        <v/>
      </c>
      <c r="O7" s="16" t="str">
        <f>IFERROR('Doc Standardization'!I6,"")</f>
        <v/>
      </c>
      <c r="P7" s="16" t="str">
        <f>IFERROR('Doc Standardization'!J6,"")</f>
        <v/>
      </c>
      <c r="Q7" s="16" t="str">
        <f>IFERROR('Doc Standardization'!K6,"")</f>
        <v/>
      </c>
      <c r="R7" s="16" t="str">
        <f>IFERROR('Doc Standardization'!L6,"")</f>
        <v/>
      </c>
      <c r="S7" s="16" t="str">
        <f>IFERROR('Doc Standardization'!M6,"")</f>
        <v/>
      </c>
      <c r="T7" s="16" t="str">
        <f>IFERROR('Doc Standardization'!N6,"")</f>
        <v/>
      </c>
    </row>
    <row r="8" spans="1:20" ht="31.5" customHeight="1" x14ac:dyDescent="0.25">
      <c r="A8" s="19" t="s">
        <v>58</v>
      </c>
      <c r="B8" s="18" t="s">
        <v>51</v>
      </c>
      <c r="C8" s="40">
        <v>70</v>
      </c>
      <c r="D8" s="33" t="s">
        <v>128</v>
      </c>
      <c r="E8" s="33" t="s">
        <v>134</v>
      </c>
      <c r="F8" s="17" t="s">
        <v>136</v>
      </c>
      <c r="G8" s="17"/>
      <c r="H8" s="40">
        <v>5</v>
      </c>
      <c r="I8" s="16">
        <f>IFERROR('Psych Safety Index'!C5,"")</f>
        <v>0</v>
      </c>
      <c r="J8" s="16">
        <f>IFERROR('Psych Safety Index'!D5,"")</f>
        <v>0</v>
      </c>
      <c r="K8" s="16">
        <f>IFERROR('Psych Safety Index'!E5,"")</f>
        <v>70</v>
      </c>
      <c r="L8" s="16">
        <f>IFERROR('Psych Safety Index'!F5,"")</f>
        <v>0</v>
      </c>
      <c r="M8" s="16">
        <f>IFERROR('Psych Safety Index'!G5,"")</f>
        <v>0</v>
      </c>
      <c r="N8" s="16">
        <f>IFERROR('Psych Safety Index'!H5,"")</f>
        <v>0</v>
      </c>
      <c r="O8" s="16">
        <f>IFERROR('Psych Safety Index'!I5,"")</f>
        <v>0</v>
      </c>
      <c r="P8" s="16">
        <f>IFERROR('Psych Safety Index'!J5,"")</f>
        <v>0</v>
      </c>
      <c r="Q8" s="16">
        <f>IFERROR('Psych Safety Index'!K5,"")</f>
        <v>0</v>
      </c>
      <c r="R8" s="16">
        <f>IFERROR('Psych Safety Index'!L5,"")</f>
        <v>0</v>
      </c>
      <c r="S8" s="16">
        <f>IFERROR('Psych Safety Index'!M5,"")</f>
        <v>0</v>
      </c>
      <c r="T8" s="16">
        <f>IFERROR('Psych Safety Index'!N5,"")</f>
        <v>0</v>
      </c>
    </row>
    <row r="9" spans="1:20" ht="31.5" customHeight="1" x14ac:dyDescent="0.25">
      <c r="A9" s="15" t="s">
        <v>59</v>
      </c>
      <c r="B9" s="14" t="s">
        <v>49</v>
      </c>
      <c r="C9" s="28">
        <v>0</v>
      </c>
      <c r="D9" s="36" t="s">
        <v>133</v>
      </c>
      <c r="E9" s="36" t="s">
        <v>135</v>
      </c>
      <c r="F9" s="28" t="s">
        <v>136</v>
      </c>
      <c r="G9" s="28"/>
      <c r="H9" s="42">
        <v>5</v>
      </c>
      <c r="I9" s="16">
        <f>IFERROR('Accident Rate'!C5,"")</f>
        <v>0</v>
      </c>
      <c r="J9" s="16">
        <f>IFERROR('Accident Rate'!D5,"")</f>
        <v>0</v>
      </c>
      <c r="K9" s="16">
        <f>IFERROR('Accident Rate'!E5,"")</f>
        <v>0</v>
      </c>
      <c r="L9" s="16">
        <f>IFERROR('Accident Rate'!F5,"")</f>
        <v>0</v>
      </c>
      <c r="M9" s="16">
        <f>IFERROR('Accident Rate'!G5,"")</f>
        <v>0</v>
      </c>
      <c r="N9" s="16">
        <f>IFERROR('Accident Rate'!H5,"")</f>
        <v>0</v>
      </c>
      <c r="O9" s="16">
        <f>IFERROR('Accident Rate'!I5,"")</f>
        <v>0</v>
      </c>
      <c r="P9" s="16">
        <f>IFERROR('Accident Rate'!J5,"")</f>
        <v>0</v>
      </c>
      <c r="Q9" s="16">
        <f>IFERROR('Accident Rate'!K5,"")</f>
        <v>0</v>
      </c>
      <c r="R9" s="16">
        <f>IFERROR('Accident Rate'!L5,"")</f>
        <v>0</v>
      </c>
      <c r="S9" s="16">
        <f>IFERROR('Accident Rate'!M5,"")</f>
        <v>0</v>
      </c>
      <c r="T9" s="16">
        <f>IFERROR('Accident Rate'!N5,"")</f>
        <v>0</v>
      </c>
    </row>
    <row r="10" spans="1:20" ht="31.5" customHeight="1" x14ac:dyDescent="0.25">
      <c r="A10" s="22" t="s">
        <v>60</v>
      </c>
      <c r="B10" s="21" t="s">
        <v>53</v>
      </c>
      <c r="C10" s="20">
        <v>0</v>
      </c>
      <c r="D10" s="35" t="s">
        <v>133</v>
      </c>
      <c r="E10" s="35" t="s">
        <v>135</v>
      </c>
      <c r="F10" s="20" t="s">
        <v>136</v>
      </c>
      <c r="G10" s="20"/>
      <c r="H10" s="39">
        <v>5</v>
      </c>
      <c r="I10" s="16">
        <f>IFERROR('High Risk Incidents'!C5,"")</f>
        <v>0</v>
      </c>
      <c r="J10" s="16">
        <f>IFERROR('High Risk Incidents'!D5,"")</f>
        <v>0</v>
      </c>
      <c r="K10" s="16">
        <f>IFERROR('High Risk Incidents'!E5,"")</f>
        <v>0</v>
      </c>
      <c r="L10" s="16">
        <f>IFERROR('High Risk Incidents'!F5,"")</f>
        <v>0</v>
      </c>
      <c r="M10" s="16">
        <f>IFERROR('High Risk Incidents'!G5,"")</f>
        <v>0</v>
      </c>
      <c r="N10" s="16">
        <f>IFERROR('High Risk Incidents'!H5,"")</f>
        <v>0</v>
      </c>
      <c r="O10" s="16">
        <f>IFERROR('High Risk Incidents'!I5,"")</f>
        <v>0</v>
      </c>
      <c r="P10" s="16">
        <f>IFERROR('High Risk Incidents'!J5,"")</f>
        <v>0</v>
      </c>
      <c r="Q10" s="16">
        <f>IFERROR('High Risk Incidents'!K5,"")</f>
        <v>0</v>
      </c>
      <c r="R10" s="16">
        <f>IFERROR('High Risk Incidents'!L5,"")</f>
        <v>0</v>
      </c>
      <c r="S10" s="16">
        <f>IFERROR('High Risk Incidents'!M5,"")</f>
        <v>0</v>
      </c>
      <c r="T10" s="16">
        <f>IFERROR('High Risk Incidents'!N5,"")</f>
        <v>0</v>
      </c>
    </row>
    <row r="11" spans="1:20" ht="31.5" customHeight="1" x14ac:dyDescent="0.25">
      <c r="A11" s="19" t="s">
        <v>61</v>
      </c>
      <c r="B11" s="18" t="s">
        <v>51</v>
      </c>
      <c r="C11" s="17">
        <v>4</v>
      </c>
      <c r="D11" s="33" t="s">
        <v>132</v>
      </c>
      <c r="E11" s="33" t="s">
        <v>134</v>
      </c>
      <c r="F11" s="17" t="s">
        <v>136</v>
      </c>
      <c r="G11" s="17"/>
      <c r="H11" s="40">
        <v>10</v>
      </c>
      <c r="I11" s="16">
        <f>IFERROR('HSE Bulletins'!C5,"")</f>
        <v>0</v>
      </c>
      <c r="J11" s="16">
        <f>IFERROR('HSE Bulletins'!D5,"")</f>
        <v>0</v>
      </c>
      <c r="K11" s="16">
        <f>IFERROR('HSE Bulletins'!E5,"")</f>
        <v>1</v>
      </c>
      <c r="L11" s="16">
        <f>IFERROR('HSE Bulletins'!F5,"")</f>
        <v>0</v>
      </c>
      <c r="M11" s="16">
        <f>IFERROR('HSE Bulletins'!G5,"")</f>
        <v>0</v>
      </c>
      <c r="N11" s="16">
        <f>IFERROR('HSE Bulletins'!H5,"")</f>
        <v>0</v>
      </c>
      <c r="O11" s="16">
        <f>IFERROR('HSE Bulletins'!I5,"")</f>
        <v>0</v>
      </c>
      <c r="P11" s="16">
        <f>IFERROR('HSE Bulletins'!J5,"")</f>
        <v>0</v>
      </c>
      <c r="Q11" s="16">
        <f>IFERROR('HSE Bulletins'!K5,"")</f>
        <v>0</v>
      </c>
      <c r="R11" s="16">
        <f>IFERROR('HSE Bulletins'!L5,"")</f>
        <v>0</v>
      </c>
      <c r="S11" s="16">
        <f>IFERROR('HSE Bulletins'!M5,"")</f>
        <v>0</v>
      </c>
      <c r="T11" s="16">
        <f>IFERROR('HSE Bulletins'!N5,"")</f>
        <v>0</v>
      </c>
    </row>
    <row r="12" spans="1:20" ht="31.5" customHeight="1" x14ac:dyDescent="0.25">
      <c r="A12" s="19" t="s">
        <v>62</v>
      </c>
      <c r="B12" s="18" t="s">
        <v>51</v>
      </c>
      <c r="C12" s="17">
        <v>2</v>
      </c>
      <c r="D12" s="33" t="s">
        <v>132</v>
      </c>
      <c r="E12" s="33" t="s">
        <v>134</v>
      </c>
      <c r="F12" s="17" t="s">
        <v>136</v>
      </c>
      <c r="G12" s="17"/>
      <c r="H12" s="40">
        <v>5</v>
      </c>
      <c r="I12" s="16">
        <f>IFERROR('Emergency Drills'!C5,"")</f>
        <v>0</v>
      </c>
      <c r="J12" s="16">
        <f>IFERROR('Emergency Drills'!D5,"")</f>
        <v>0</v>
      </c>
      <c r="K12" s="16">
        <f>IFERROR('Emergency Drills'!E5,"")</f>
        <v>1</v>
      </c>
      <c r="L12" s="16">
        <f>IFERROR('Emergency Drills'!F5,"")</f>
        <v>0</v>
      </c>
      <c r="M12" s="16">
        <f>IFERROR('Emergency Drills'!G5,"")</f>
        <v>0</v>
      </c>
      <c r="N12" s="16">
        <f>IFERROR('Emergency Drills'!H5,"")</f>
        <v>0</v>
      </c>
      <c r="O12" s="16">
        <f>IFERROR('Emergency Drills'!I5,"")</f>
        <v>0</v>
      </c>
      <c r="P12" s="16">
        <f>IFERROR('Emergency Drills'!J5,"")</f>
        <v>0</v>
      </c>
      <c r="Q12" s="16">
        <f>IFERROR('Emergency Drills'!K5,"")</f>
        <v>0</v>
      </c>
      <c r="R12" s="16">
        <f>IFERROR('Emergency Drills'!L5,"")</f>
        <v>0</v>
      </c>
      <c r="S12" s="16">
        <f>IFERROR('Emergency Drills'!M5,"")</f>
        <v>0</v>
      </c>
      <c r="T12" s="16">
        <f>IFERROR('Emergency Drills'!N5,"")</f>
        <v>0</v>
      </c>
    </row>
    <row r="13" spans="1:20" ht="31.5" customHeight="1" x14ac:dyDescent="0.25">
      <c r="A13" s="19" t="s">
        <v>63</v>
      </c>
      <c r="B13" s="18" t="s">
        <v>51</v>
      </c>
      <c r="C13" s="40">
        <v>100</v>
      </c>
      <c r="D13" s="37" t="s">
        <v>128</v>
      </c>
      <c r="E13" s="37" t="s">
        <v>134</v>
      </c>
      <c r="F13" s="30" t="s">
        <v>136</v>
      </c>
      <c r="G13" s="30"/>
      <c r="H13" s="40">
        <v>5</v>
      </c>
      <c r="I13" s="16">
        <f>IFERROR('Training Compliance'!C6,"")</f>
        <v>100</v>
      </c>
      <c r="J13" s="16" t="str">
        <f>IFERROR('Training Compliance'!D6,"")</f>
        <v/>
      </c>
      <c r="K13" s="16">
        <f>IFERROR('Training Compliance'!E6,"")</f>
        <v>100</v>
      </c>
      <c r="L13" s="16" t="str">
        <f>IFERROR('Training Compliance'!F6,"")</f>
        <v/>
      </c>
      <c r="M13" s="16" t="str">
        <f>IFERROR('Training Compliance'!G6,"")</f>
        <v/>
      </c>
      <c r="N13" s="16" t="str">
        <f>IFERROR('Training Compliance'!H6,"")</f>
        <v/>
      </c>
      <c r="O13" s="16" t="str">
        <f>IFERROR('Training Compliance'!I6,"")</f>
        <v/>
      </c>
      <c r="P13" s="16" t="str">
        <f>IFERROR('Training Compliance'!J6,"")</f>
        <v/>
      </c>
      <c r="Q13" s="16" t="str">
        <f>IFERROR('Training Compliance'!K6,"")</f>
        <v/>
      </c>
      <c r="R13" s="16" t="str">
        <f>IFERROR('Training Compliance'!L6,"")</f>
        <v/>
      </c>
      <c r="S13" s="16" t="str">
        <f>IFERROR('Training Compliance'!M6,"")</f>
        <v/>
      </c>
      <c r="T13" s="16" t="str">
        <f>IFERROR('Training Compliance'!N6,"")</f>
        <v/>
      </c>
    </row>
    <row r="14" spans="1:20" ht="31.5" customHeight="1" x14ac:dyDescent="0.25">
      <c r="A14" s="25" t="s">
        <v>65</v>
      </c>
      <c r="B14" s="24" t="s">
        <v>64</v>
      </c>
      <c r="C14" s="41">
        <v>100</v>
      </c>
      <c r="D14" s="38" t="s">
        <v>128</v>
      </c>
      <c r="E14" s="38" t="s">
        <v>135</v>
      </c>
      <c r="F14" s="23" t="s">
        <v>136</v>
      </c>
      <c r="G14" s="23"/>
      <c r="H14" s="41">
        <v>5</v>
      </c>
      <c r="I14" s="16" t="str">
        <f>IFERROR('Budget Adherence'!C6,"")</f>
        <v/>
      </c>
      <c r="J14" s="16" t="str">
        <f>IFERROR('Budget Adherence'!D6,"")</f>
        <v/>
      </c>
      <c r="K14" s="16" t="str">
        <f>IFERROR('Budget Adherence'!E6,"")</f>
        <v/>
      </c>
      <c r="L14" s="16" t="str">
        <f>IFERROR('Budget Adherence'!F6,"")</f>
        <v/>
      </c>
      <c r="M14" s="16" t="str">
        <f>IFERROR('Budget Adherence'!G6,"")</f>
        <v/>
      </c>
      <c r="N14" s="16" t="str">
        <f>IFERROR('Budget Adherence'!H6,"")</f>
        <v/>
      </c>
      <c r="O14" s="16" t="str">
        <f>IFERROR('Budget Adherence'!I6,"")</f>
        <v/>
      </c>
      <c r="P14" s="16" t="str">
        <f>IFERROR('Budget Adherence'!J6,"")</f>
        <v/>
      </c>
      <c r="Q14" s="16" t="str">
        <f>IFERROR('Budget Adherence'!K6,"")</f>
        <v/>
      </c>
      <c r="R14" s="16" t="str">
        <f>IFERROR('Budget Adherence'!L6,"")</f>
        <v/>
      </c>
      <c r="S14" s="16" t="str">
        <f>IFERROR('Budget Adherence'!M6,"")</f>
        <v/>
      </c>
      <c r="T14" s="16" t="str">
        <f>IFERROR('Budget Adherence'!N6,"")</f>
        <v/>
      </c>
    </row>
    <row r="15" spans="1:20" ht="31.5" customHeight="1" x14ac:dyDescent="0.25">
      <c r="A15" s="22" t="s">
        <v>66</v>
      </c>
      <c r="B15" s="21" t="s">
        <v>53</v>
      </c>
      <c r="C15" s="39">
        <v>90</v>
      </c>
      <c r="D15" s="34" t="s">
        <v>128</v>
      </c>
      <c r="E15" s="34" t="s">
        <v>134</v>
      </c>
      <c r="F15" s="29" t="s">
        <v>136</v>
      </c>
      <c r="G15" s="29"/>
      <c r="H15" s="39">
        <v>5</v>
      </c>
      <c r="I15" s="16" t="str">
        <f>IFERROR('Proc Review Rate'!C6,"")</f>
        <v/>
      </c>
      <c r="J15" s="16" t="str">
        <f>IFERROR('Proc Review Rate'!D6,"")</f>
        <v/>
      </c>
      <c r="K15" s="16">
        <f>IFERROR('Proc Review Rate'!E6,"")</f>
        <v>100</v>
      </c>
      <c r="L15" s="16" t="str">
        <f>IFERROR('Proc Review Rate'!F6,"")</f>
        <v/>
      </c>
      <c r="M15" s="16" t="str">
        <f>IFERROR('Proc Review Rate'!G6,"")</f>
        <v/>
      </c>
      <c r="N15" s="16" t="str">
        <f>IFERROR('Proc Review Rate'!H6,"")</f>
        <v/>
      </c>
      <c r="O15" s="16" t="str">
        <f>IFERROR('Proc Review Rate'!I6,"")</f>
        <v/>
      </c>
      <c r="P15" s="16" t="str">
        <f>IFERROR('Proc Review Rate'!J6,"")</f>
        <v/>
      </c>
      <c r="Q15" s="16" t="str">
        <f>IFERROR('Proc Review Rate'!K6,"")</f>
        <v/>
      </c>
      <c r="R15" s="16" t="str">
        <f>IFERROR('Proc Review Rate'!L6,"")</f>
        <v/>
      </c>
      <c r="S15" s="16" t="str">
        <f>IFERROR('Proc Review Rate'!M6,"")</f>
        <v/>
      </c>
      <c r="T15" s="16" t="str">
        <f>IFERROR('Proc Review Rate'!N6,"")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6A4B-A7BA-48CF-BC3B-798BB24A3760}">
  <dimension ref="A1:T15"/>
  <sheetViews>
    <sheetView workbookViewId="0">
      <selection activeCell="A29" sqref="A29"/>
    </sheetView>
  </sheetViews>
  <sheetFormatPr defaultRowHeight="15" x14ac:dyDescent="0.25"/>
  <cols>
    <col min="1" max="1" width="46.5703125" customWidth="1"/>
    <col min="2" max="2" width="19.5703125" customWidth="1"/>
  </cols>
  <sheetData>
    <row r="1" spans="1:20" ht="25.5" x14ac:dyDescent="0.25">
      <c r="A1" s="43" t="s">
        <v>47</v>
      </c>
      <c r="B1" s="43" t="s">
        <v>126</v>
      </c>
      <c r="C1" s="43" t="s">
        <v>48</v>
      </c>
      <c r="D1" s="43" t="s">
        <v>127</v>
      </c>
      <c r="E1" s="43" t="s">
        <v>129</v>
      </c>
      <c r="F1" s="43" t="s">
        <v>130</v>
      </c>
      <c r="G1" s="43" t="s">
        <v>131</v>
      </c>
      <c r="H1" s="43" t="s">
        <v>137</v>
      </c>
      <c r="I1" s="50" t="s">
        <v>138</v>
      </c>
      <c r="J1" s="50" t="s">
        <v>139</v>
      </c>
      <c r="K1" s="50" t="s">
        <v>140</v>
      </c>
      <c r="L1" s="50" t="s">
        <v>141</v>
      </c>
      <c r="M1" s="50" t="s">
        <v>142</v>
      </c>
      <c r="N1" s="50" t="s">
        <v>143</v>
      </c>
      <c r="O1" s="50" t="s">
        <v>144</v>
      </c>
      <c r="P1" s="50" t="s">
        <v>145</v>
      </c>
      <c r="Q1" s="50" t="s">
        <v>146</v>
      </c>
      <c r="R1" s="50" t="s">
        <v>147</v>
      </c>
      <c r="S1" s="50" t="s">
        <v>148</v>
      </c>
      <c r="T1" s="49" t="s">
        <v>149</v>
      </c>
    </row>
    <row r="2" spans="1:20" ht="25.5" x14ac:dyDescent="0.25">
      <c r="A2" s="15" t="s">
        <v>50</v>
      </c>
      <c r="B2" s="14" t="s">
        <v>49</v>
      </c>
      <c r="C2" s="31">
        <v>85</v>
      </c>
      <c r="D2" s="32" t="s">
        <v>128</v>
      </c>
      <c r="E2" s="32" t="s">
        <v>134</v>
      </c>
      <c r="F2" s="32" t="s">
        <v>136</v>
      </c>
      <c r="G2" s="32"/>
      <c r="H2" s="42">
        <v>10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spans="1:20" x14ac:dyDescent="0.25">
      <c r="A3" s="19" t="s">
        <v>52</v>
      </c>
      <c r="B3" s="18" t="s">
        <v>51</v>
      </c>
      <c r="C3" s="17">
        <v>4</v>
      </c>
      <c r="D3" s="33" t="s">
        <v>132</v>
      </c>
      <c r="E3" s="17" t="s">
        <v>134</v>
      </c>
      <c r="F3" s="17" t="s">
        <v>136</v>
      </c>
      <c r="G3" s="17"/>
      <c r="H3" s="40">
        <v>10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spans="1:20" x14ac:dyDescent="0.25">
      <c r="A4" s="22" t="s">
        <v>54</v>
      </c>
      <c r="B4" s="21" t="s">
        <v>53</v>
      </c>
      <c r="C4" s="39">
        <v>95</v>
      </c>
      <c r="D4" s="34" t="s">
        <v>128</v>
      </c>
      <c r="E4" s="29" t="s">
        <v>134</v>
      </c>
      <c r="F4" s="29" t="s">
        <v>136</v>
      </c>
      <c r="G4" s="29"/>
      <c r="H4" s="39">
        <v>15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spans="1:20" x14ac:dyDescent="0.25">
      <c r="A5" s="22" t="s">
        <v>55</v>
      </c>
      <c r="B5" s="21" t="s">
        <v>53</v>
      </c>
      <c r="C5" s="39">
        <v>15</v>
      </c>
      <c r="D5" s="34" t="s">
        <v>128</v>
      </c>
      <c r="E5" s="34" t="s">
        <v>135</v>
      </c>
      <c r="F5" s="29" t="s">
        <v>136</v>
      </c>
      <c r="G5" s="29"/>
      <c r="H5" s="39">
        <v>5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spans="1:20" x14ac:dyDescent="0.25">
      <c r="A6" s="22" t="s">
        <v>56</v>
      </c>
      <c r="B6" s="21" t="s">
        <v>53</v>
      </c>
      <c r="C6" s="20">
        <v>5</v>
      </c>
      <c r="D6" s="35" t="s">
        <v>132</v>
      </c>
      <c r="E6" s="35" t="s">
        <v>135</v>
      </c>
      <c r="F6" s="20" t="s">
        <v>136</v>
      </c>
      <c r="G6" s="20"/>
      <c r="H6" s="39">
        <v>5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</row>
    <row r="7" spans="1:20" x14ac:dyDescent="0.25">
      <c r="A7" s="22" t="s">
        <v>57</v>
      </c>
      <c r="B7" s="21" t="s">
        <v>53</v>
      </c>
      <c r="C7" s="39">
        <v>95</v>
      </c>
      <c r="D7" s="34" t="s">
        <v>128</v>
      </c>
      <c r="E7" s="34" t="s">
        <v>134</v>
      </c>
      <c r="F7" s="29" t="s">
        <v>136</v>
      </c>
      <c r="G7" s="29"/>
      <c r="H7" s="39">
        <v>10</v>
      </c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</row>
    <row r="8" spans="1:20" x14ac:dyDescent="0.25">
      <c r="A8" s="19" t="s">
        <v>58</v>
      </c>
      <c r="B8" s="18" t="s">
        <v>51</v>
      </c>
      <c r="C8" s="40">
        <v>70</v>
      </c>
      <c r="D8" s="33" t="s">
        <v>128</v>
      </c>
      <c r="E8" s="33" t="s">
        <v>134</v>
      </c>
      <c r="F8" s="17" t="s">
        <v>136</v>
      </c>
      <c r="G8" s="17"/>
      <c r="H8" s="40">
        <v>5</v>
      </c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</row>
    <row r="9" spans="1:20" ht="25.5" x14ac:dyDescent="0.25">
      <c r="A9" s="15" t="s">
        <v>59</v>
      </c>
      <c r="B9" s="14" t="s">
        <v>49</v>
      </c>
      <c r="C9" s="28">
        <v>0</v>
      </c>
      <c r="D9" s="36" t="s">
        <v>133</v>
      </c>
      <c r="E9" s="36" t="s">
        <v>135</v>
      </c>
      <c r="F9" s="28" t="s">
        <v>136</v>
      </c>
      <c r="G9" s="28"/>
      <c r="H9" s="42">
        <v>5</v>
      </c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</row>
    <row r="10" spans="1:20" x14ac:dyDescent="0.25">
      <c r="A10" s="22" t="s">
        <v>60</v>
      </c>
      <c r="B10" s="21" t="s">
        <v>53</v>
      </c>
      <c r="C10" s="20">
        <v>0</v>
      </c>
      <c r="D10" s="35" t="s">
        <v>133</v>
      </c>
      <c r="E10" s="35" t="s">
        <v>135</v>
      </c>
      <c r="F10" s="20" t="s">
        <v>136</v>
      </c>
      <c r="G10" s="20"/>
      <c r="H10" s="39">
        <v>5</v>
      </c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spans="1:20" x14ac:dyDescent="0.25">
      <c r="A11" s="19" t="s">
        <v>61</v>
      </c>
      <c r="B11" s="18" t="s">
        <v>51</v>
      </c>
      <c r="C11" s="17">
        <v>4</v>
      </c>
      <c r="D11" s="33" t="s">
        <v>132</v>
      </c>
      <c r="E11" s="33" t="s">
        <v>134</v>
      </c>
      <c r="F11" s="17" t="s">
        <v>136</v>
      </c>
      <c r="G11" s="17"/>
      <c r="H11" s="40">
        <v>10</v>
      </c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</row>
    <row r="12" spans="1:20" x14ac:dyDescent="0.25">
      <c r="A12" s="19" t="s">
        <v>62</v>
      </c>
      <c r="B12" s="18" t="s">
        <v>51</v>
      </c>
      <c r="C12" s="17">
        <v>2</v>
      </c>
      <c r="D12" s="33" t="s">
        <v>132</v>
      </c>
      <c r="E12" s="33" t="s">
        <v>134</v>
      </c>
      <c r="F12" s="17" t="s">
        <v>136</v>
      </c>
      <c r="G12" s="17"/>
      <c r="H12" s="40">
        <v>5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</row>
    <row r="13" spans="1:20" x14ac:dyDescent="0.25">
      <c r="A13" s="19" t="s">
        <v>63</v>
      </c>
      <c r="B13" s="18" t="s">
        <v>51</v>
      </c>
      <c r="C13" s="40">
        <v>100</v>
      </c>
      <c r="D13" s="37" t="s">
        <v>128</v>
      </c>
      <c r="E13" s="37" t="s">
        <v>134</v>
      </c>
      <c r="F13" s="30" t="s">
        <v>136</v>
      </c>
      <c r="G13" s="30"/>
      <c r="H13" s="40">
        <v>5</v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5">
      <c r="A14" s="25" t="s">
        <v>65</v>
      </c>
      <c r="B14" s="24" t="s">
        <v>64</v>
      </c>
      <c r="C14" s="41">
        <v>100</v>
      </c>
      <c r="D14" s="38" t="s">
        <v>128</v>
      </c>
      <c r="E14" s="38" t="s">
        <v>135</v>
      </c>
      <c r="F14" s="23" t="s">
        <v>136</v>
      </c>
      <c r="G14" s="23"/>
      <c r="H14" s="41">
        <v>5</v>
      </c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</row>
    <row r="15" spans="1:20" x14ac:dyDescent="0.25">
      <c r="A15" s="22" t="s">
        <v>66</v>
      </c>
      <c r="B15" s="21" t="s">
        <v>53</v>
      </c>
      <c r="C15" s="39">
        <v>90</v>
      </c>
      <c r="D15" s="34" t="s">
        <v>128</v>
      </c>
      <c r="E15" s="34" t="s">
        <v>134</v>
      </c>
      <c r="F15" s="29" t="s">
        <v>136</v>
      </c>
      <c r="G15" s="29"/>
      <c r="H15" s="39">
        <v>5</v>
      </c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6" sqref="E6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50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67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82</v>
      </c>
    </row>
    <row r="4" spans="1:15" ht="21.75" customHeight="1" x14ac:dyDescent="0.25">
      <c r="A4" s="48" t="s">
        <v>83</v>
      </c>
      <c r="B4" s="5" t="s">
        <v>84</v>
      </c>
      <c r="C4" s="6">
        <v>1</v>
      </c>
      <c r="D4" s="6">
        <v>1</v>
      </c>
      <c r="E4" s="6">
        <v>5</v>
      </c>
      <c r="F4" s="6"/>
      <c r="G4" s="6"/>
      <c r="H4" s="6"/>
      <c r="I4" s="6"/>
      <c r="J4" s="6"/>
      <c r="K4" s="6"/>
      <c r="L4" s="6"/>
      <c r="M4" s="6"/>
      <c r="N4" s="6"/>
      <c r="O4" s="7">
        <f>IFERROR(AVERAGEIF(C4:N4,"&lt;&gt;"),"")</f>
        <v>2.3333333333333335</v>
      </c>
    </row>
    <row r="5" spans="1:15" ht="21.75" customHeight="1" x14ac:dyDescent="0.25">
      <c r="A5" s="48"/>
      <c r="B5" s="13" t="s">
        <v>50</v>
      </c>
      <c r="C5" s="6">
        <v>1</v>
      </c>
      <c r="D5" s="6">
        <v>1</v>
      </c>
      <c r="E5" s="6">
        <v>3</v>
      </c>
      <c r="F5" s="6"/>
      <c r="G5" s="6"/>
      <c r="H5" s="6"/>
      <c r="I5" s="6"/>
      <c r="J5" s="6"/>
      <c r="K5" s="6"/>
      <c r="L5" s="6"/>
      <c r="M5" s="6"/>
      <c r="N5" s="6"/>
      <c r="O5" s="7">
        <f>IFERROR(AVERAGEIF(C5:N5,"&lt;&gt;"),"")</f>
        <v>1.6666666666666667</v>
      </c>
    </row>
    <row r="6" spans="1:15" ht="25.5" customHeight="1" x14ac:dyDescent="0.25">
      <c r="A6" s="8" t="s">
        <v>85</v>
      </c>
      <c r="B6" s="9" t="s">
        <v>50</v>
      </c>
      <c r="C6" s="10">
        <f t="shared" ref="C6:N6" si="0">IFERROR(C5/C4*100,"")</f>
        <v>100</v>
      </c>
      <c r="D6" s="10">
        <f t="shared" si="0"/>
        <v>100</v>
      </c>
      <c r="E6" s="10">
        <f t="shared" si="0"/>
        <v>60</v>
      </c>
      <c r="F6" s="10" t="str">
        <f t="shared" si="0"/>
        <v/>
      </c>
      <c r="G6" s="10" t="str">
        <f t="shared" si="0"/>
        <v/>
      </c>
      <c r="H6" s="10" t="str">
        <f t="shared" si="0"/>
        <v/>
      </c>
      <c r="I6" s="10" t="str">
        <f t="shared" si="0"/>
        <v/>
      </c>
      <c r="J6" s="10" t="str">
        <f t="shared" si="0"/>
        <v/>
      </c>
      <c r="K6" s="10" t="str">
        <f t="shared" si="0"/>
        <v/>
      </c>
      <c r="L6" s="10" t="str">
        <f t="shared" si="0"/>
        <v/>
      </c>
      <c r="M6" s="10" t="str">
        <f t="shared" si="0"/>
        <v/>
      </c>
      <c r="N6" s="10" t="str">
        <f t="shared" si="0"/>
        <v/>
      </c>
      <c r="O6" s="10">
        <f>IFERROR(AVERAGEIF(C6:N6,"&lt;&gt;"),"")</f>
        <v>86.666666666666671</v>
      </c>
    </row>
  </sheetData>
  <mergeCells count="3">
    <mergeCell ref="A1:O1"/>
    <mergeCell ref="A2:O2"/>
    <mergeCell ref="A4:A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1" sqref="E11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52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86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87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88</v>
      </c>
    </row>
    <row r="4" spans="1:15" ht="21.75" customHeight="1" x14ac:dyDescent="0.25">
      <c r="A4" s="11" t="s">
        <v>83</v>
      </c>
      <c r="B4" s="5" t="s">
        <v>89</v>
      </c>
      <c r="C4" s="27">
        <v>0</v>
      </c>
      <c r="D4" s="27">
        <v>0</v>
      </c>
      <c r="E4" s="27">
        <v>1</v>
      </c>
      <c r="F4" s="6"/>
      <c r="G4" s="6"/>
      <c r="H4" s="6"/>
      <c r="I4" s="6"/>
      <c r="J4" s="6"/>
      <c r="K4" s="6"/>
      <c r="L4" s="6"/>
      <c r="M4" s="6"/>
      <c r="N4" s="6"/>
      <c r="O4" s="7">
        <f>IFERROR(SUM(C4:N4),"")</f>
        <v>1</v>
      </c>
    </row>
    <row r="5" spans="1:15" ht="25.5" customHeight="1" x14ac:dyDescent="0.25">
      <c r="A5" s="8" t="s">
        <v>85</v>
      </c>
      <c r="B5" s="9" t="s">
        <v>90</v>
      </c>
      <c r="C5" s="10">
        <f t="shared" ref="C5:N5" si="0">IFERROR(C4,"")</f>
        <v>0</v>
      </c>
      <c r="D5" s="10">
        <f t="shared" si="0"/>
        <v>0</v>
      </c>
      <c r="E5" s="10">
        <f t="shared" si="0"/>
        <v>1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>IFERROR(SUM(C5:N5),"")</f>
        <v>1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5" sqref="K5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54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91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82</v>
      </c>
    </row>
    <row r="4" spans="1:15" ht="21.75" customHeight="1" x14ac:dyDescent="0.25">
      <c r="A4" s="48" t="s">
        <v>83</v>
      </c>
      <c r="B4" s="5" t="s">
        <v>92</v>
      </c>
      <c r="C4" s="6">
        <v>0</v>
      </c>
      <c r="D4" s="6">
        <v>12</v>
      </c>
      <c r="E4" s="6">
        <v>10</v>
      </c>
      <c r="F4" s="6"/>
      <c r="G4" s="6"/>
      <c r="H4" s="6"/>
      <c r="I4" s="6"/>
      <c r="J4" s="6"/>
      <c r="K4" s="6"/>
      <c r="L4" s="6"/>
      <c r="M4" s="6"/>
      <c r="N4" s="6"/>
      <c r="O4" s="7">
        <f>IFERROR(AVERAGEIF(C4:N4,"&lt;&gt;"),"")</f>
        <v>7.333333333333333</v>
      </c>
    </row>
    <row r="5" spans="1:15" ht="21.75" customHeight="1" x14ac:dyDescent="0.25">
      <c r="A5" s="48"/>
      <c r="B5" s="5" t="s">
        <v>93</v>
      </c>
      <c r="C5" s="6">
        <v>0</v>
      </c>
      <c r="D5" s="6">
        <v>10</v>
      </c>
      <c r="E5" s="6">
        <v>12</v>
      </c>
      <c r="F5" s="6"/>
      <c r="G5" s="6"/>
      <c r="H5" s="6"/>
      <c r="I5" s="6"/>
      <c r="J5" s="6"/>
      <c r="K5" s="6"/>
      <c r="L5" s="6"/>
      <c r="M5" s="6"/>
      <c r="N5" s="6"/>
      <c r="O5" s="7">
        <f>IFERROR(AVERAGEIF(C5:N5,"&lt;&gt;"),"")</f>
        <v>7.333333333333333</v>
      </c>
    </row>
    <row r="6" spans="1:15" ht="25.5" customHeight="1" x14ac:dyDescent="0.25">
      <c r="A6" s="8" t="s">
        <v>85</v>
      </c>
      <c r="B6" s="9" t="s">
        <v>54</v>
      </c>
      <c r="C6" s="10" t="str">
        <f t="shared" ref="C6:N6" si="0">IFERROR(C5/C4*100,"")</f>
        <v/>
      </c>
      <c r="D6" s="10">
        <f t="shared" si="0"/>
        <v>83.333333333333343</v>
      </c>
      <c r="E6" s="10">
        <f t="shared" si="0"/>
        <v>120</v>
      </c>
      <c r="F6" s="10" t="str">
        <f t="shared" si="0"/>
        <v/>
      </c>
      <c r="G6" s="10" t="str">
        <f t="shared" si="0"/>
        <v/>
      </c>
      <c r="H6" s="10" t="str">
        <f t="shared" si="0"/>
        <v/>
      </c>
      <c r="I6" s="10" t="str">
        <f t="shared" si="0"/>
        <v/>
      </c>
      <c r="J6" s="10" t="str">
        <f t="shared" si="0"/>
        <v/>
      </c>
      <c r="K6" s="10" t="str">
        <f t="shared" si="0"/>
        <v/>
      </c>
      <c r="L6" s="10" t="str">
        <f t="shared" si="0"/>
        <v/>
      </c>
      <c r="M6" s="10" t="str">
        <f t="shared" si="0"/>
        <v/>
      </c>
      <c r="N6" s="10" t="str">
        <f t="shared" si="0"/>
        <v/>
      </c>
      <c r="O6" s="10">
        <f>IFERROR(AVERAGEIF(C6:N6,"&lt;&gt;"),"")</f>
        <v>101.66666666666667</v>
      </c>
    </row>
  </sheetData>
  <mergeCells count="3">
    <mergeCell ref="A1:O1"/>
    <mergeCell ref="A2:O2"/>
    <mergeCell ref="A4:A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6" sqref="B6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55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94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82</v>
      </c>
    </row>
    <row r="4" spans="1:15" ht="21.75" customHeight="1" x14ac:dyDescent="0.25">
      <c r="A4" s="48" t="s">
        <v>83</v>
      </c>
      <c r="B4" s="5" t="s">
        <v>95</v>
      </c>
      <c r="C4" s="6">
        <v>22</v>
      </c>
      <c r="D4" s="6">
        <v>25</v>
      </c>
      <c r="E4" s="6">
        <v>35</v>
      </c>
      <c r="F4" s="6"/>
      <c r="G4" s="6"/>
      <c r="H4" s="6"/>
      <c r="I4" s="6"/>
      <c r="J4" s="6"/>
      <c r="K4" s="6"/>
      <c r="L4" s="6"/>
      <c r="M4" s="6"/>
      <c r="N4" s="6"/>
      <c r="O4" s="7">
        <f>IFERROR(AVERAGEIF(C4:N4,"&lt;&gt;"),"")</f>
        <v>27.333333333333332</v>
      </c>
    </row>
    <row r="5" spans="1:15" ht="21.75" customHeight="1" x14ac:dyDescent="0.25">
      <c r="A5" s="48"/>
      <c r="B5" s="5" t="s">
        <v>96</v>
      </c>
      <c r="C5" s="6">
        <v>2</v>
      </c>
      <c r="D5" s="6">
        <v>3</v>
      </c>
      <c r="E5" s="6">
        <v>1</v>
      </c>
      <c r="F5" s="6"/>
      <c r="G5" s="6"/>
      <c r="H5" s="6"/>
      <c r="I5" s="6"/>
      <c r="J5" s="6"/>
      <c r="K5" s="6"/>
      <c r="L5" s="6"/>
      <c r="M5" s="6"/>
      <c r="N5" s="6"/>
      <c r="O5" s="7">
        <f>IFERROR(AVERAGEIF(C5:N5,"&lt;&gt;"),"")</f>
        <v>2</v>
      </c>
    </row>
    <row r="6" spans="1:15" ht="25.5" customHeight="1" x14ac:dyDescent="0.25">
      <c r="A6" s="8" t="s">
        <v>85</v>
      </c>
      <c r="B6" s="9" t="s">
        <v>55</v>
      </c>
      <c r="C6" s="10">
        <f t="shared" ref="C6:N6" si="0">IFERROR(C5/C4*100,"")</f>
        <v>9.0909090909090917</v>
      </c>
      <c r="D6" s="10">
        <f t="shared" si="0"/>
        <v>12</v>
      </c>
      <c r="E6" s="10">
        <f t="shared" si="0"/>
        <v>2.8571428571428572</v>
      </c>
      <c r="F6" s="10" t="str">
        <f t="shared" si="0"/>
        <v/>
      </c>
      <c r="G6" s="10" t="str">
        <f t="shared" si="0"/>
        <v/>
      </c>
      <c r="H6" s="10" t="str">
        <f t="shared" si="0"/>
        <v/>
      </c>
      <c r="I6" s="10" t="str">
        <f t="shared" si="0"/>
        <v/>
      </c>
      <c r="J6" s="10" t="str">
        <f t="shared" si="0"/>
        <v/>
      </c>
      <c r="K6" s="10" t="str">
        <f t="shared" si="0"/>
        <v/>
      </c>
      <c r="L6" s="10" t="str">
        <f t="shared" si="0"/>
        <v/>
      </c>
      <c r="M6" s="10" t="str">
        <f t="shared" si="0"/>
        <v/>
      </c>
      <c r="N6" s="10" t="str">
        <f t="shared" si="0"/>
        <v/>
      </c>
      <c r="O6" s="10">
        <f>IFERROR(AVERAGEIF(C6:N6,"&lt;&gt;"),"")</f>
        <v>7.9826839826839837</v>
      </c>
    </row>
  </sheetData>
  <mergeCells count="3">
    <mergeCell ref="A1:O1"/>
    <mergeCell ref="A2:O2"/>
    <mergeCell ref="A4:A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" sqref="C5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97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87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88</v>
      </c>
    </row>
    <row r="4" spans="1:15" ht="21.75" customHeight="1" x14ac:dyDescent="0.25">
      <c r="A4" s="11" t="s">
        <v>83</v>
      </c>
      <c r="B4" s="5" t="s">
        <v>98</v>
      </c>
      <c r="C4" s="6">
        <v>0</v>
      </c>
      <c r="D4" s="6">
        <v>0</v>
      </c>
      <c r="E4" s="6">
        <v>2</v>
      </c>
      <c r="F4" s="6"/>
      <c r="G4" s="6"/>
      <c r="H4" s="6"/>
      <c r="I4" s="6"/>
      <c r="J4" s="6"/>
      <c r="K4" s="6"/>
      <c r="L4" s="6"/>
      <c r="M4" s="6"/>
      <c r="N4" s="6"/>
      <c r="O4" s="7">
        <f>IFERROR(SUM(C4:N4),"")</f>
        <v>2</v>
      </c>
    </row>
    <row r="5" spans="1:15" ht="25.5" customHeight="1" x14ac:dyDescent="0.25">
      <c r="A5" s="8" t="s">
        <v>85</v>
      </c>
      <c r="B5" s="9" t="s">
        <v>99</v>
      </c>
      <c r="C5" s="10">
        <f t="shared" ref="C5:N5" si="0">IFERROR(C4,"")</f>
        <v>0</v>
      </c>
      <c r="D5" s="10">
        <f t="shared" si="0"/>
        <v>0</v>
      </c>
      <c r="E5" s="10">
        <f t="shared" si="0"/>
        <v>2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>IFERROR(SUM(C5:N5),"")</f>
        <v>2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4" sqref="F4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57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100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82</v>
      </c>
    </row>
    <row r="4" spans="1:15" ht="21.75" customHeight="1" x14ac:dyDescent="0.25">
      <c r="A4" s="48" t="s">
        <v>83</v>
      </c>
      <c r="B4" s="5" t="s">
        <v>101</v>
      </c>
      <c r="C4" s="6">
        <v>0</v>
      </c>
      <c r="D4" s="6">
        <v>0</v>
      </c>
      <c r="E4" s="6">
        <v>1</v>
      </c>
      <c r="F4" s="6"/>
      <c r="G4" s="6"/>
      <c r="H4" s="6"/>
      <c r="I4" s="6"/>
      <c r="J4" s="6"/>
      <c r="K4" s="6"/>
      <c r="L4" s="6"/>
      <c r="M4" s="6"/>
      <c r="N4" s="6"/>
      <c r="O4" s="7">
        <f>IFERROR(AVERAGEIF(C4:N4,"&lt;&gt;"),"")</f>
        <v>0.33333333333333331</v>
      </c>
    </row>
    <row r="5" spans="1:15" ht="21.75" customHeight="1" x14ac:dyDescent="0.25">
      <c r="A5" s="48"/>
      <c r="B5" s="5" t="s">
        <v>102</v>
      </c>
      <c r="C5" s="6">
        <v>0</v>
      </c>
      <c r="D5" s="6">
        <v>0</v>
      </c>
      <c r="E5" s="6">
        <v>1</v>
      </c>
      <c r="F5" s="6"/>
      <c r="G5" s="6"/>
      <c r="H5" s="6"/>
      <c r="I5" s="6"/>
      <c r="J5" s="6"/>
      <c r="K5" s="6"/>
      <c r="L5" s="6"/>
      <c r="M5" s="6"/>
      <c r="N5" s="6"/>
      <c r="O5" s="7">
        <f>IFERROR(AVERAGEIF(C5:N5,"&lt;&gt;"),"")</f>
        <v>0.33333333333333331</v>
      </c>
    </row>
    <row r="6" spans="1:15" ht="25.5" customHeight="1" x14ac:dyDescent="0.25">
      <c r="A6" s="8" t="s">
        <v>85</v>
      </c>
      <c r="B6" s="9" t="s">
        <v>57</v>
      </c>
      <c r="C6" s="10" t="str">
        <f t="shared" ref="C6:N6" si="0">IFERROR(C5/C4*100,"")</f>
        <v/>
      </c>
      <c r="D6" s="10" t="str">
        <f t="shared" si="0"/>
        <v/>
      </c>
      <c r="E6" s="10">
        <f t="shared" si="0"/>
        <v>100</v>
      </c>
      <c r="F6" s="10" t="str">
        <f t="shared" si="0"/>
        <v/>
      </c>
      <c r="G6" s="10" t="str">
        <f t="shared" si="0"/>
        <v/>
      </c>
      <c r="H6" s="10" t="str">
        <f t="shared" si="0"/>
        <v/>
      </c>
      <c r="I6" s="10" t="str">
        <f t="shared" si="0"/>
        <v/>
      </c>
      <c r="J6" s="10" t="str">
        <f t="shared" si="0"/>
        <v/>
      </c>
      <c r="K6" s="10" t="str">
        <f t="shared" si="0"/>
        <v/>
      </c>
      <c r="L6" s="10" t="str">
        <f t="shared" si="0"/>
        <v/>
      </c>
      <c r="M6" s="10" t="str">
        <f t="shared" si="0"/>
        <v/>
      </c>
      <c r="N6" s="10" t="str">
        <f t="shared" si="0"/>
        <v/>
      </c>
      <c r="O6" s="10">
        <f>IFERROR(AVERAGEIF(C6:N6,"&lt;&gt;"),"")</f>
        <v>100</v>
      </c>
    </row>
  </sheetData>
  <mergeCells count="3">
    <mergeCell ref="A1:O1"/>
    <mergeCell ref="A2:O2"/>
    <mergeCell ref="A4:A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" sqref="C5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103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104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87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105</v>
      </c>
    </row>
    <row r="4" spans="1:15" ht="21.75" customHeight="1" x14ac:dyDescent="0.25">
      <c r="A4" s="11" t="s">
        <v>83</v>
      </c>
      <c r="B4" s="5" t="s">
        <v>106</v>
      </c>
      <c r="C4" s="12">
        <v>0</v>
      </c>
      <c r="D4" s="12">
        <v>0</v>
      </c>
      <c r="E4" s="12">
        <v>70</v>
      </c>
      <c r="F4" s="12"/>
      <c r="G4" s="12"/>
      <c r="H4" s="12"/>
      <c r="I4" s="12"/>
      <c r="J4" s="12"/>
      <c r="K4" s="12"/>
      <c r="L4" s="12"/>
      <c r="M4" s="12"/>
      <c r="N4" s="12"/>
      <c r="O4" s="7">
        <f>IF(N4&lt;&gt;"",N4,IF(M4&lt;&gt;"",M4,IF(L4&lt;&gt;"",L4,IF(K4&lt;&gt;"",K4,IF(J4&lt;&gt;"",J4,IF(I4&lt;&gt;"",I4,IF(H4&lt;&gt;"",H4,IF(G4&lt;&gt;"",G4,IF(F4&lt;&gt;"",F4,IF(E4&lt;&gt;"",E4,IF(D4&lt;&gt;"",D4,IF(C4&lt;&gt;"",C4,""))))))))))))</f>
        <v>70</v>
      </c>
    </row>
    <row r="5" spans="1:15" ht="25.5" customHeight="1" x14ac:dyDescent="0.25">
      <c r="A5" s="8" t="s">
        <v>85</v>
      </c>
      <c r="B5" s="9" t="s">
        <v>58</v>
      </c>
      <c r="C5" s="10">
        <f t="shared" ref="C5:N5" si="0">IFERROR(C4,"")</f>
        <v>0</v>
      </c>
      <c r="D5" s="10">
        <f t="shared" si="0"/>
        <v>0</v>
      </c>
      <c r="E5" s="10">
        <f t="shared" si="0"/>
        <v>70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>IF(N5&lt;&gt;"",N5,IF(M5&lt;&gt;"",M5,IF(L5&lt;&gt;"",L5,IF(K5&lt;&gt;"",K5,IF(J5&lt;&gt;"",J5,IF(I5&lt;&gt;"",I5,IF(H5&lt;&gt;"",H5,IF(G5&lt;&gt;"",G5,IF(F5&lt;&gt;"",F5,IF(E5&lt;&gt;"",E5,IF(D5&lt;&gt;"",D5,IF(C5&lt;&gt;"",C5,""))))))))))))</f>
        <v>0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2" sqref="F32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107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87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88</v>
      </c>
    </row>
    <row r="4" spans="1:15" ht="21.75" customHeight="1" x14ac:dyDescent="0.25">
      <c r="A4" s="11" t="s">
        <v>83</v>
      </c>
      <c r="B4" s="5" t="s">
        <v>59</v>
      </c>
      <c r="C4" s="6">
        <v>0</v>
      </c>
      <c r="D4" s="6">
        <v>0</v>
      </c>
      <c r="E4" s="6">
        <v>0</v>
      </c>
      <c r="F4" s="6"/>
      <c r="G4" s="6"/>
      <c r="H4" s="6"/>
      <c r="I4" s="6"/>
      <c r="J4" s="6"/>
      <c r="K4" s="6"/>
      <c r="L4" s="6"/>
      <c r="M4" s="6"/>
      <c r="N4" s="6"/>
      <c r="O4" s="7">
        <f>IFERROR(SUM(C4:N4),"")</f>
        <v>0</v>
      </c>
    </row>
    <row r="5" spans="1:15" ht="25.5" customHeight="1" x14ac:dyDescent="0.25">
      <c r="A5" s="8" t="s">
        <v>85</v>
      </c>
      <c r="B5" s="9" t="s">
        <v>108</v>
      </c>
      <c r="C5" s="10">
        <f t="shared" ref="C5:N5" si="0">IFERROR(C4,"")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>IFERROR(SUM(C5:N5),"")</f>
        <v>0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9" sqref="I19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60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107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87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88</v>
      </c>
    </row>
    <row r="4" spans="1:15" ht="21.75" customHeight="1" x14ac:dyDescent="0.25">
      <c r="A4" s="11" t="s">
        <v>83</v>
      </c>
      <c r="B4" s="5" t="s">
        <v>109</v>
      </c>
      <c r="C4" s="6">
        <v>0</v>
      </c>
      <c r="D4" s="6">
        <v>0</v>
      </c>
      <c r="E4" s="6">
        <v>0</v>
      </c>
      <c r="F4" s="6"/>
      <c r="G4" s="6"/>
      <c r="H4" s="6"/>
      <c r="I4" s="6"/>
      <c r="J4" s="6"/>
      <c r="K4" s="6"/>
      <c r="L4" s="6"/>
      <c r="M4" s="6"/>
      <c r="N4" s="6"/>
      <c r="O4" s="7">
        <f>IFERROR(SUM(C4:N4),"")</f>
        <v>0</v>
      </c>
    </row>
    <row r="5" spans="1:15" ht="25.5" customHeight="1" x14ac:dyDescent="0.25">
      <c r="A5" s="8" t="s">
        <v>85</v>
      </c>
      <c r="B5" s="9" t="s">
        <v>110</v>
      </c>
      <c r="C5" s="10">
        <f t="shared" ref="C5:N5" si="0">IFERROR(C4,"")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>IFERROR(SUM(C5:N5),"")</f>
        <v>0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5" sqref="E5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61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111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87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88</v>
      </c>
    </row>
    <row r="4" spans="1:15" ht="21.75" customHeight="1" x14ac:dyDescent="0.25">
      <c r="A4" s="11" t="s">
        <v>83</v>
      </c>
      <c r="B4" s="5" t="s">
        <v>112</v>
      </c>
      <c r="C4" s="6">
        <v>0</v>
      </c>
      <c r="D4" s="6">
        <v>0</v>
      </c>
      <c r="E4" s="6">
        <v>1</v>
      </c>
      <c r="F4" s="6"/>
      <c r="G4" s="6"/>
      <c r="H4" s="6"/>
      <c r="I4" s="6"/>
      <c r="J4" s="6"/>
      <c r="K4" s="6"/>
      <c r="L4" s="6"/>
      <c r="M4" s="6"/>
      <c r="N4" s="6"/>
      <c r="O4" s="7">
        <f>IFERROR(SUM(C4:N4),"")</f>
        <v>1</v>
      </c>
    </row>
    <row r="5" spans="1:15" ht="25.5" customHeight="1" x14ac:dyDescent="0.25">
      <c r="A5" s="8" t="s">
        <v>85</v>
      </c>
      <c r="B5" s="9" t="s">
        <v>113</v>
      </c>
      <c r="C5" s="10">
        <f t="shared" ref="C5:N5" si="0">IFERROR(C4,"")</f>
        <v>0</v>
      </c>
      <c r="D5" s="10">
        <f t="shared" si="0"/>
        <v>0</v>
      </c>
      <c r="E5" s="10">
        <f t="shared" si="0"/>
        <v>1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>IFERROR(SUM(C5:N5),"")</f>
        <v>1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" sqref="C5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62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114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87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88</v>
      </c>
    </row>
    <row r="4" spans="1:15" ht="21.75" customHeight="1" x14ac:dyDescent="0.25">
      <c r="A4" s="11" t="s">
        <v>83</v>
      </c>
      <c r="B4" s="5" t="s">
        <v>115</v>
      </c>
      <c r="C4" s="6">
        <v>0</v>
      </c>
      <c r="D4" s="6">
        <v>0</v>
      </c>
      <c r="E4" s="6">
        <v>1</v>
      </c>
      <c r="F4" s="6"/>
      <c r="G4" s="6"/>
      <c r="H4" s="6"/>
      <c r="I4" s="6"/>
      <c r="J4" s="6"/>
      <c r="K4" s="6"/>
      <c r="L4" s="6"/>
      <c r="M4" s="6"/>
      <c r="N4" s="6"/>
      <c r="O4" s="7">
        <f>IFERROR(SUM(C4:N4),"")</f>
        <v>1</v>
      </c>
    </row>
    <row r="5" spans="1:15" ht="25.5" customHeight="1" x14ac:dyDescent="0.25">
      <c r="A5" s="8" t="s">
        <v>85</v>
      </c>
      <c r="B5" s="9" t="s">
        <v>116</v>
      </c>
      <c r="C5" s="10">
        <f t="shared" ref="C5:N5" si="0">IFERROR(C4,"")</f>
        <v>0</v>
      </c>
      <c r="D5" s="10">
        <f t="shared" si="0"/>
        <v>0</v>
      </c>
      <c r="E5" s="10">
        <f t="shared" si="0"/>
        <v>1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>IFERROR(SUM(C5:N5),"")</f>
        <v>1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6" sqref="E6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63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117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82</v>
      </c>
    </row>
    <row r="4" spans="1:15" ht="21.75" customHeight="1" x14ac:dyDescent="0.25">
      <c r="A4" s="48" t="s">
        <v>83</v>
      </c>
      <c r="B4" s="5" t="s">
        <v>118</v>
      </c>
      <c r="C4" s="6">
        <v>5</v>
      </c>
      <c r="D4" s="6">
        <v>0</v>
      </c>
      <c r="E4" s="6">
        <v>2</v>
      </c>
      <c r="F4" s="6"/>
      <c r="G4" s="6"/>
      <c r="H4" s="6"/>
      <c r="I4" s="6"/>
      <c r="J4" s="6"/>
      <c r="K4" s="6"/>
      <c r="L4" s="6"/>
      <c r="M4" s="6"/>
      <c r="N4" s="6"/>
      <c r="O4" s="7">
        <f>IFERROR(AVERAGEIF(C4:N4,"&lt;&gt;"),"")</f>
        <v>2.3333333333333335</v>
      </c>
    </row>
    <row r="5" spans="1:15" ht="21.75" customHeight="1" x14ac:dyDescent="0.25">
      <c r="A5" s="48"/>
      <c r="B5" s="5" t="s">
        <v>119</v>
      </c>
      <c r="C5" s="6">
        <v>5</v>
      </c>
      <c r="D5" s="6">
        <v>0</v>
      </c>
      <c r="E5" s="6">
        <v>2</v>
      </c>
      <c r="F5" s="6"/>
      <c r="G5" s="6"/>
      <c r="H5" s="6"/>
      <c r="I5" s="6"/>
      <c r="J5" s="6"/>
      <c r="K5" s="6"/>
      <c r="L5" s="6"/>
      <c r="M5" s="6"/>
      <c r="N5" s="6"/>
      <c r="O5" s="7">
        <f>IFERROR(AVERAGEIF(C5:N5,"&lt;&gt;"),"")</f>
        <v>2.3333333333333335</v>
      </c>
    </row>
    <row r="6" spans="1:15" ht="25.5" customHeight="1" x14ac:dyDescent="0.25">
      <c r="A6" s="8" t="s">
        <v>85</v>
      </c>
      <c r="B6" s="9" t="s">
        <v>63</v>
      </c>
      <c r="C6" s="10">
        <f t="shared" ref="C6:N6" si="0">IFERROR(C5/C4*100,"")</f>
        <v>100</v>
      </c>
      <c r="D6" s="10" t="str">
        <f t="shared" si="0"/>
        <v/>
      </c>
      <c r="E6" s="10">
        <f t="shared" si="0"/>
        <v>100</v>
      </c>
      <c r="F6" s="10" t="str">
        <f t="shared" si="0"/>
        <v/>
      </c>
      <c r="G6" s="10" t="str">
        <f t="shared" si="0"/>
        <v/>
      </c>
      <c r="H6" s="10" t="str">
        <f t="shared" si="0"/>
        <v/>
      </c>
      <c r="I6" s="10" t="str">
        <f t="shared" si="0"/>
        <v/>
      </c>
      <c r="J6" s="10" t="str">
        <f t="shared" si="0"/>
        <v/>
      </c>
      <c r="K6" s="10" t="str">
        <f t="shared" si="0"/>
        <v/>
      </c>
      <c r="L6" s="10" t="str">
        <f t="shared" si="0"/>
        <v/>
      </c>
      <c r="M6" s="10" t="str">
        <f t="shared" si="0"/>
        <v/>
      </c>
      <c r="N6" s="10" t="str">
        <f t="shared" si="0"/>
        <v/>
      </c>
      <c r="O6" s="10">
        <f>IFERROR(AVERAGEIF(C6:N6,"&lt;&gt;"),"")</f>
        <v>100</v>
      </c>
    </row>
  </sheetData>
  <mergeCells count="3">
    <mergeCell ref="A1:O1"/>
    <mergeCell ref="A2:O2"/>
    <mergeCell ref="A4:A5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O1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65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120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82</v>
      </c>
    </row>
    <row r="4" spans="1:15" ht="21.75" customHeight="1" x14ac:dyDescent="0.25">
      <c r="A4" s="48" t="s">
        <v>83</v>
      </c>
      <c r="B4" s="5" t="s">
        <v>121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tr">
        <f>IFERROR(AVERAGEIF(C4:N4,"&lt;&gt;"),"")</f>
        <v/>
      </c>
    </row>
    <row r="5" spans="1:15" ht="21.75" customHeight="1" x14ac:dyDescent="0.25">
      <c r="A5" s="48"/>
      <c r="B5" s="5" t="s">
        <v>122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 t="str">
        <f>IFERROR(AVERAGEIF(C5:N5,"&lt;&gt;"),"")</f>
        <v/>
      </c>
    </row>
    <row r="6" spans="1:15" ht="25.5" customHeight="1" x14ac:dyDescent="0.25">
      <c r="A6" s="8" t="s">
        <v>85</v>
      </c>
      <c r="B6" s="9" t="s">
        <v>65</v>
      </c>
      <c r="C6" s="10" t="str">
        <f t="shared" ref="C6:N6" si="0">IFERROR(C5/C4*100,"")</f>
        <v/>
      </c>
      <c r="D6" s="10" t="str">
        <f t="shared" si="0"/>
        <v/>
      </c>
      <c r="E6" s="10" t="str">
        <f t="shared" si="0"/>
        <v/>
      </c>
      <c r="F6" s="10" t="str">
        <f t="shared" si="0"/>
        <v/>
      </c>
      <c r="G6" s="10" t="str">
        <f t="shared" si="0"/>
        <v/>
      </c>
      <c r="H6" s="10" t="str">
        <f t="shared" si="0"/>
        <v/>
      </c>
      <c r="I6" s="10" t="str">
        <f t="shared" si="0"/>
        <v/>
      </c>
      <c r="J6" s="10" t="str">
        <f t="shared" si="0"/>
        <v/>
      </c>
      <c r="K6" s="10" t="str">
        <f t="shared" si="0"/>
        <v/>
      </c>
      <c r="L6" s="10" t="str">
        <f t="shared" si="0"/>
        <v/>
      </c>
      <c r="M6" s="10" t="str">
        <f t="shared" si="0"/>
        <v/>
      </c>
      <c r="N6" s="10" t="str">
        <f t="shared" si="0"/>
        <v/>
      </c>
      <c r="O6" s="10" t="str">
        <f>IFERROR(AVERAGEIF(C6:N6,"&lt;&gt;"),"")</f>
        <v/>
      </c>
    </row>
  </sheetData>
  <mergeCells count="3">
    <mergeCell ref="A1:O1"/>
    <mergeCell ref="A2:O2"/>
    <mergeCell ref="A4:A5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6" sqref="C6"/>
    </sheetView>
  </sheetViews>
  <sheetFormatPr defaultColWidth="8.7109375" defaultRowHeight="15" x14ac:dyDescent="0.25"/>
  <cols>
    <col min="1" max="1" width="20" customWidth="1"/>
    <col min="2" max="2" width="44" customWidth="1"/>
    <col min="3" max="14" width="11" customWidth="1"/>
    <col min="15" max="15" width="12" customWidth="1"/>
  </cols>
  <sheetData>
    <row r="1" spans="1:15" ht="27.75" customHeight="1" x14ac:dyDescent="0.25">
      <c r="A1" s="46" t="s">
        <v>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9.5" customHeight="1" x14ac:dyDescent="0.25">
      <c r="A2" s="47" t="s">
        <v>123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31.5" customHeight="1" x14ac:dyDescent="0.25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82</v>
      </c>
    </row>
    <row r="4" spans="1:15" ht="21.75" customHeight="1" x14ac:dyDescent="0.25">
      <c r="A4" s="48" t="s">
        <v>83</v>
      </c>
      <c r="B4" s="5" t="s">
        <v>124</v>
      </c>
      <c r="C4" s="6">
        <v>0</v>
      </c>
      <c r="D4" s="6">
        <v>0</v>
      </c>
      <c r="E4" s="6">
        <v>1</v>
      </c>
      <c r="F4" s="6"/>
      <c r="G4" s="6"/>
      <c r="H4" s="6"/>
      <c r="I4" s="6"/>
      <c r="J4" s="6"/>
      <c r="K4" s="6"/>
      <c r="L4" s="6"/>
      <c r="M4" s="6"/>
      <c r="N4" s="6"/>
      <c r="O4" s="7">
        <f>IFERROR(AVERAGEIF(C4:N4,"&lt;&gt;"),"")</f>
        <v>0.33333333333333331</v>
      </c>
    </row>
    <row r="5" spans="1:15" ht="21.75" customHeight="1" x14ac:dyDescent="0.25">
      <c r="A5" s="48"/>
      <c r="B5" s="5" t="s">
        <v>125</v>
      </c>
      <c r="C5" s="6">
        <v>0</v>
      </c>
      <c r="D5" s="6">
        <v>0</v>
      </c>
      <c r="E5" s="6">
        <v>1</v>
      </c>
      <c r="F5" s="6"/>
      <c r="G5" s="6"/>
      <c r="H5" s="6"/>
      <c r="I5" s="6"/>
      <c r="J5" s="6"/>
      <c r="K5" s="6"/>
      <c r="L5" s="6"/>
      <c r="M5" s="6"/>
      <c r="N5" s="6"/>
      <c r="O5" s="7">
        <f>IFERROR(AVERAGEIF(C5:N5,"&lt;&gt;"),"")</f>
        <v>0.33333333333333331</v>
      </c>
    </row>
    <row r="6" spans="1:15" ht="25.5" customHeight="1" x14ac:dyDescent="0.25">
      <c r="A6" s="8" t="s">
        <v>85</v>
      </c>
      <c r="B6" s="9" t="s">
        <v>66</v>
      </c>
      <c r="C6" s="10" t="str">
        <f t="shared" ref="C6:N6" si="0">IFERROR(C5/C4*100,"")</f>
        <v/>
      </c>
      <c r="D6" s="10" t="str">
        <f t="shared" si="0"/>
        <v/>
      </c>
      <c r="E6" s="10">
        <f t="shared" si="0"/>
        <v>100</v>
      </c>
      <c r="F6" s="10" t="str">
        <f t="shared" si="0"/>
        <v/>
      </c>
      <c r="G6" s="10" t="str">
        <f t="shared" si="0"/>
        <v/>
      </c>
      <c r="H6" s="10" t="str">
        <f t="shared" si="0"/>
        <v/>
      </c>
      <c r="I6" s="10" t="str">
        <f t="shared" si="0"/>
        <v/>
      </c>
      <c r="J6" s="10" t="str">
        <f t="shared" si="0"/>
        <v/>
      </c>
      <c r="K6" s="10" t="str">
        <f t="shared" si="0"/>
        <v/>
      </c>
      <c r="L6" s="10" t="str">
        <f t="shared" si="0"/>
        <v/>
      </c>
      <c r="M6" s="10" t="str">
        <f t="shared" si="0"/>
        <v/>
      </c>
      <c r="N6" s="10" t="str">
        <f t="shared" si="0"/>
        <v/>
      </c>
      <c r="O6" s="10">
        <f>IFERROR(AVERAGEIF(C6:N6,"&lt;&gt;"),"")</f>
        <v>100</v>
      </c>
    </row>
  </sheetData>
  <mergeCells count="3">
    <mergeCell ref="A1:O1"/>
    <mergeCell ref="A2:O2"/>
    <mergeCell ref="A4:A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How to Use</vt:lpstr>
      <vt:lpstr>Actuals 2026</vt:lpstr>
      <vt:lpstr>Historical</vt:lpstr>
      <vt:lpstr>Regulatory Approval</vt:lpstr>
      <vt:lpstr>Quality Circular Freq</vt:lpstr>
      <vt:lpstr>Audit Plan Adherence</vt:lpstr>
      <vt:lpstr>CAPA Extension Rate</vt:lpstr>
      <vt:lpstr>Unscheduled Audits</vt:lpstr>
      <vt:lpstr>Doc Standardization</vt:lpstr>
      <vt:lpstr>Psych Safety Index</vt:lpstr>
      <vt:lpstr>Accident Rate</vt:lpstr>
      <vt:lpstr>High Risk Incidents</vt:lpstr>
      <vt:lpstr>HSE Bulletins</vt:lpstr>
      <vt:lpstr>Emergency Drills</vt:lpstr>
      <vt:lpstr>Training Compliance</vt:lpstr>
      <vt:lpstr>Budget Adherence</vt:lpstr>
      <vt:lpstr>Proc Review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Dharmesh Sheth</cp:lastModifiedBy>
  <cp:revision>0</cp:revision>
  <dcterms:created xsi:type="dcterms:W3CDTF">2026-05-05T05:38:21Z</dcterms:created>
  <dcterms:modified xsi:type="dcterms:W3CDTF">2026-05-07T06:30:39Z</dcterms:modified>
  <dc:language>en-US</dc:language>
</cp:coreProperties>
</file>